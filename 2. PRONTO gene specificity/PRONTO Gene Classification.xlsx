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eensuca-my.sharepoint.com/personal/20yx17_queensu_ca/Documents/project codes and results/2. PRONTO gene specificity/"/>
    </mc:Choice>
  </mc:AlternateContent>
  <xr:revisionPtr revIDLastSave="2691" documentId="14_{3C2F035D-205A-4C13-B73A-E735324FC1AC}" xr6:coauthVersionLast="47" xr6:coauthVersionMax="47" xr10:uidLastSave="{EA0A7837-6DB2-4109-93EB-F3C381927A1F}"/>
  <bookViews>
    <workbookView xWindow="-120" yWindow="-120" windowWidth="29040" windowHeight="15840" activeTab="6" xr2:uid="{00000000-000D-0000-FFFF-FFFF00000000}"/>
  </bookViews>
  <sheets>
    <sheet name="All PRONTO genes" sheetId="9" r:id="rId1"/>
    <sheet name="Epi" sheetId="2" r:id="rId2"/>
    <sheet name="Str" sheetId="1" r:id="rId3"/>
    <sheet name="unproved" sheetId="3" r:id="rId4"/>
    <sheet name="Epi in IHC images" sheetId="5" r:id="rId5"/>
    <sheet name="Str in IHC images" sheetId="6" r:id="rId6"/>
    <sheet name="Epi of prostate specificity" sheetId="8" r:id="rId7"/>
  </sheets>
  <definedNames>
    <definedName name="_xlnm._FilterDatabase" localSheetId="0" hidden="1">'All PRONTO genes'!$C$1:$C$379</definedName>
    <definedName name="_xlnm._FilterDatabase" localSheetId="1" hidden="1">Epi!$A$1:$I$34</definedName>
    <definedName name="_xlnm._FilterDatabase" localSheetId="4" hidden="1">'Epi in IHC images'!$I$1:$I$1048571</definedName>
    <definedName name="_xlnm._FilterDatabase" localSheetId="2" hidden="1">Str!$A$1:$I$89</definedName>
    <definedName name="_xlnm._FilterDatabase" localSheetId="5" hidden="1">'Str in IHC images'!$I$1:$I$41</definedName>
    <definedName name="_xlnm._FilterDatabase" localSheetId="3" hidden="1">unproved!$A$1:$K$248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1" i="6" l="1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</calcChain>
</file>

<file path=xl/sharedStrings.xml><?xml version="1.0" encoding="utf-8"?>
<sst xmlns="http://schemas.openxmlformats.org/spreadsheetml/2006/main" count="3830" uniqueCount="1110">
  <si>
    <t>Gene</t>
  </si>
  <si>
    <t>ID</t>
  </si>
  <si>
    <t>A2M</t>
  </si>
  <si>
    <t>ABCB1</t>
  </si>
  <si>
    <t>ADAM33</t>
  </si>
  <si>
    <t>ALDH1A2</t>
  </si>
  <si>
    <t>ALDH2</t>
  </si>
  <si>
    <t>AP1S2</t>
  </si>
  <si>
    <t>BGN</t>
  </si>
  <si>
    <t>BHLHE22</t>
  </si>
  <si>
    <t>BNC2</t>
  </si>
  <si>
    <t>C1S</t>
  </si>
  <si>
    <t>CALD1</t>
  </si>
  <si>
    <t>CAV2</t>
  </si>
  <si>
    <t>CCDC181</t>
  </si>
  <si>
    <t>CDH11</t>
  </si>
  <si>
    <t>CDKN1A</t>
  </si>
  <si>
    <t>CEBPD</t>
  </si>
  <si>
    <t>CLIC4</t>
  </si>
  <si>
    <t>CNN1</t>
  </si>
  <si>
    <t>COL16A1</t>
  </si>
  <si>
    <t>COL1A2</t>
  </si>
  <si>
    <t>COL3A1</t>
  </si>
  <si>
    <t>COL5A2</t>
  </si>
  <si>
    <t>COL6A2</t>
  </si>
  <si>
    <t>COL6A3</t>
  </si>
  <si>
    <t>COLGALT2</t>
  </si>
  <si>
    <t>CTHRC1</t>
  </si>
  <si>
    <t>DFNA5</t>
  </si>
  <si>
    <t>EBF3</t>
  </si>
  <si>
    <t>ENPEP</t>
  </si>
  <si>
    <t>ERG</t>
  </si>
  <si>
    <t>FAM114A1</t>
  </si>
  <si>
    <t>FBN1</t>
  </si>
  <si>
    <t>FHL1</t>
  </si>
  <si>
    <t>FLT1</t>
  </si>
  <si>
    <t>FN1</t>
  </si>
  <si>
    <t>FRZB</t>
  </si>
  <si>
    <t>FZD7</t>
  </si>
  <si>
    <t>GAS2L3</t>
  </si>
  <si>
    <t>GNB4</t>
  </si>
  <si>
    <t>GSN</t>
  </si>
  <si>
    <t>HAND2</t>
  </si>
  <si>
    <t>HIC1</t>
  </si>
  <si>
    <t>HMOX1</t>
  </si>
  <si>
    <t>HOXD3</t>
  </si>
  <si>
    <t>IGF1</t>
  </si>
  <si>
    <t>IGF2</t>
  </si>
  <si>
    <t>IGFBP3</t>
  </si>
  <si>
    <t>IL6</t>
  </si>
  <si>
    <t>IL6ST</t>
  </si>
  <si>
    <t>INHBA</t>
  </si>
  <si>
    <t>INPP4A</t>
  </si>
  <si>
    <t>ITGBL1</t>
  </si>
  <si>
    <t>JAG1</t>
  </si>
  <si>
    <t>JAK1</t>
  </si>
  <si>
    <t>KDR</t>
  </si>
  <si>
    <t>MEG3</t>
  </si>
  <si>
    <t>MEIS2</t>
  </si>
  <si>
    <t>METTL7A</t>
  </si>
  <si>
    <t>MUC1</t>
  </si>
  <si>
    <t>MYLK</t>
  </si>
  <si>
    <t>NOTCH3</t>
  </si>
  <si>
    <t>NRN1</t>
  </si>
  <si>
    <t>NRP1</t>
  </si>
  <si>
    <t>OLFML2B</t>
  </si>
  <si>
    <t>PDE1A</t>
  </si>
  <si>
    <t>PDGFRB</t>
  </si>
  <si>
    <t>PDLIM7</t>
  </si>
  <si>
    <t>PI15</t>
  </si>
  <si>
    <t>PTEN</t>
  </si>
  <si>
    <t>PTGS2</t>
  </si>
  <si>
    <t>RABGAP1L</t>
  </si>
  <si>
    <t>RBM24</t>
  </si>
  <si>
    <t>RBPMS</t>
  </si>
  <si>
    <t>RUNDC3B</t>
  </si>
  <si>
    <t>SFRP2</t>
  </si>
  <si>
    <t>SNAI2</t>
  </si>
  <si>
    <t>SPARC</t>
  </si>
  <si>
    <t>SPP1</t>
  </si>
  <si>
    <t>STC1</t>
  </si>
  <si>
    <t>TGFBR2</t>
  </si>
  <si>
    <t>THBS2</t>
  </si>
  <si>
    <t>THY1</t>
  </si>
  <si>
    <t>TRAK1</t>
  </si>
  <si>
    <t>TWIST1</t>
  </si>
  <si>
    <t>VIM</t>
  </si>
  <si>
    <t>WNT11</t>
  </si>
  <si>
    <t>ZEB1</t>
  </si>
  <si>
    <t>ZEB2</t>
  </si>
  <si>
    <t>AGT</t>
  </si>
  <si>
    <t>AMD1</t>
  </si>
  <si>
    <t>AZGP1</t>
  </si>
  <si>
    <t>CDH1</t>
  </si>
  <si>
    <t>COL9A2</t>
  </si>
  <si>
    <t>CPNE4</t>
  </si>
  <si>
    <t>EGF</t>
  </si>
  <si>
    <t>FAM111A</t>
  </si>
  <si>
    <t>GDF15</t>
  </si>
  <si>
    <t>KCNS3</t>
  </si>
  <si>
    <t>KLK3</t>
  </si>
  <si>
    <t>KRT18</t>
  </si>
  <si>
    <t>KRT8</t>
  </si>
  <si>
    <t>MLPH</t>
  </si>
  <si>
    <t>MYBPC1</t>
  </si>
  <si>
    <t>MYO6</t>
  </si>
  <si>
    <t>NCAPD3</t>
  </si>
  <si>
    <t>NCOA4</t>
  </si>
  <si>
    <t>NDRG1</t>
  </si>
  <si>
    <t>NFIB</t>
  </si>
  <si>
    <t>NKX3-1</t>
  </si>
  <si>
    <t>PEX11B</t>
  </si>
  <si>
    <t>PKP3</t>
  </si>
  <si>
    <t>PRSS8</t>
  </si>
  <si>
    <t>RAB27A</t>
  </si>
  <si>
    <t>RAP1GAP</t>
  </si>
  <si>
    <t>SATB1</t>
  </si>
  <si>
    <t>SMS</t>
  </si>
  <si>
    <t>SQRDL</t>
  </si>
  <si>
    <t>TMPRSS2</t>
  </si>
  <si>
    <t>ABCA3</t>
  </si>
  <si>
    <t>ACAD8</t>
  </si>
  <si>
    <t>ADAMTS18</t>
  </si>
  <si>
    <t>ADGRG6</t>
  </si>
  <si>
    <t>AHNAK</t>
  </si>
  <si>
    <t>AKR1C3</t>
  </si>
  <si>
    <t>AKT2</t>
  </si>
  <si>
    <t>AMACR</t>
  </si>
  <si>
    <t>ANG</t>
  </si>
  <si>
    <t>ANGPT2</t>
  </si>
  <si>
    <t>ANKRD6</t>
  </si>
  <si>
    <t>ANXA1</t>
  </si>
  <si>
    <t>AOX1</t>
  </si>
  <si>
    <t>APC</t>
  </si>
  <si>
    <t>AR</t>
  </si>
  <si>
    <t>ASPN</t>
  </si>
  <si>
    <t>ATF3</t>
  </si>
  <si>
    <t>AUTS2</t>
  </si>
  <si>
    <t>B$GAT1</t>
  </si>
  <si>
    <t>BEND3</t>
  </si>
  <si>
    <t>BPTF</t>
  </si>
  <si>
    <t>C16orf70</t>
  </si>
  <si>
    <t>C18orf21</t>
  </si>
  <si>
    <t>C1QTNF5</t>
  </si>
  <si>
    <t>C6orf136</t>
  </si>
  <si>
    <t>C9orf152</t>
  </si>
  <si>
    <t>CACNG4</t>
  </si>
  <si>
    <t>CALM3</t>
  </si>
  <si>
    <t>CAMK2N1</t>
  </si>
  <si>
    <t>CAPN5</t>
  </si>
  <si>
    <t>CAPN6</t>
  </si>
  <si>
    <t>CASP8AP2</t>
  </si>
  <si>
    <t>CAT</t>
  </si>
  <si>
    <t>CBLB</t>
  </si>
  <si>
    <t>CCDC8</t>
  </si>
  <si>
    <t>CCNA2</t>
  </si>
  <si>
    <t>CCNB2</t>
  </si>
  <si>
    <t>CCNE1</t>
  </si>
  <si>
    <t>CCNE2</t>
  </si>
  <si>
    <t>CCNT2-AS1</t>
  </si>
  <si>
    <t>CDK1</t>
  </si>
  <si>
    <t>CDK4</t>
  </si>
  <si>
    <t>CDKN1B</t>
  </si>
  <si>
    <t>CDKN2A</t>
  </si>
  <si>
    <t>CENPF</t>
  </si>
  <si>
    <t>CEP152</t>
  </si>
  <si>
    <t>CEP164</t>
  </si>
  <si>
    <t>CEP250</t>
  </si>
  <si>
    <t>CFC1</t>
  </si>
  <si>
    <t>CHD1</t>
  </si>
  <si>
    <t>CISH</t>
  </si>
  <si>
    <t>CMTM1</t>
  </si>
  <si>
    <t>COL1A1</t>
  </si>
  <si>
    <t>COL5A1</t>
  </si>
  <si>
    <t>CPEB3</t>
  </si>
  <si>
    <t>CPSF3L</t>
  </si>
  <si>
    <t>CTSF</t>
  </si>
  <si>
    <t>CX3CL1</t>
  </si>
  <si>
    <t>CYP17A1</t>
  </si>
  <si>
    <t>CYP19A1</t>
  </si>
  <si>
    <t>CYP3A4</t>
  </si>
  <si>
    <t>DEPDC5</t>
  </si>
  <si>
    <t>DGCR8</t>
  </si>
  <si>
    <t>DHCR7</t>
  </si>
  <si>
    <t>DIS3L2</t>
  </si>
  <si>
    <t>DNAH17</t>
  </si>
  <si>
    <t>DNAH8</t>
  </si>
  <si>
    <t>DNMT1</t>
  </si>
  <si>
    <t>DRD4</t>
  </si>
  <si>
    <t>DVL1</t>
  </si>
  <si>
    <t>DVL2</t>
  </si>
  <si>
    <t>DYRK4</t>
  </si>
  <si>
    <t>ECI1</t>
  </si>
  <si>
    <t>EFNA4</t>
  </si>
  <si>
    <t>EI24</t>
  </si>
  <si>
    <t>ELMOD3</t>
  </si>
  <si>
    <t>EMP2</t>
  </si>
  <si>
    <t>EPHX2</t>
  </si>
  <si>
    <t>ERBB2</t>
  </si>
  <si>
    <t>ERCH5</t>
  </si>
  <si>
    <t>EZH2</t>
  </si>
  <si>
    <t>F3</t>
  </si>
  <si>
    <t>F5</t>
  </si>
  <si>
    <t>FAM122C</t>
  </si>
  <si>
    <t>FAM234A</t>
  </si>
  <si>
    <t>FBXO48</t>
  </si>
  <si>
    <t>FER</t>
  </si>
  <si>
    <t>FMO5</t>
  </si>
  <si>
    <t>FOLH1</t>
  </si>
  <si>
    <t>FPGS</t>
  </si>
  <si>
    <t>GABARAPL2</t>
  </si>
  <si>
    <t>GAS6</t>
  </si>
  <si>
    <t>GDAP1</t>
  </si>
  <si>
    <t>GFRA3</t>
  </si>
  <si>
    <t>GLB1L3</t>
  </si>
  <si>
    <t>GMNN</t>
  </si>
  <si>
    <t>GNAS</t>
  </si>
  <si>
    <t>GNE</t>
  </si>
  <si>
    <t>GNPTAB</t>
  </si>
  <si>
    <t>GPI</t>
  </si>
  <si>
    <t>GSC</t>
  </si>
  <si>
    <t>GSK3B</t>
  </si>
  <si>
    <t>GSTM2</t>
  </si>
  <si>
    <t>GSTP1</t>
  </si>
  <si>
    <t>H2AFX</t>
  </si>
  <si>
    <t>HAPLN3</t>
  </si>
  <si>
    <t>HDAC1</t>
  </si>
  <si>
    <t>HDAC9</t>
  </si>
  <si>
    <t>HELB</t>
  </si>
  <si>
    <t>HEXDC</t>
  </si>
  <si>
    <t>HIF1A</t>
  </si>
  <si>
    <t>HKR1</t>
  </si>
  <si>
    <t>HSD17B4</t>
  </si>
  <si>
    <t>HSPA1B</t>
  </si>
  <si>
    <t>IL27RA</t>
  </si>
  <si>
    <t>ITGA2</t>
  </si>
  <si>
    <t>ITGAV</t>
  </si>
  <si>
    <t>ITGB5</t>
  </si>
  <si>
    <t>JAK2</t>
  </si>
  <si>
    <t>KCNK2</t>
  </si>
  <si>
    <t>KDM2B</t>
  </si>
  <si>
    <t>KHDRBS3</t>
  </si>
  <si>
    <t>KRT1</t>
  </si>
  <si>
    <t>KRT10</t>
  </si>
  <si>
    <t>KRT14</t>
  </si>
  <si>
    <t>KRT15</t>
  </si>
  <si>
    <t>KRT5</t>
  </si>
  <si>
    <t>LEMD2</t>
  </si>
  <si>
    <t>LENG9</t>
  </si>
  <si>
    <t>LOX</t>
  </si>
  <si>
    <t>LRRN1</t>
  </si>
  <si>
    <t>LYN</t>
  </si>
  <si>
    <t>MAP3K7</t>
  </si>
  <si>
    <t>MCM4</t>
  </si>
  <si>
    <t>MDM2</t>
  </si>
  <si>
    <t>MMP9</t>
  </si>
  <si>
    <t>MPDZ</t>
  </si>
  <si>
    <t>MPP7</t>
  </si>
  <si>
    <t>MRC2</t>
  </si>
  <si>
    <t>MROH8</t>
  </si>
  <si>
    <t>MT1L</t>
  </si>
  <si>
    <t>MUS81</t>
  </si>
  <si>
    <t>MYB</t>
  </si>
  <si>
    <t>MYC</t>
  </si>
  <si>
    <t>NAA40</t>
  </si>
  <si>
    <t>NDC1</t>
  </si>
  <si>
    <t>NEFH</t>
  </si>
  <si>
    <t>NETO2</t>
  </si>
  <si>
    <t>NME5</t>
  </si>
  <si>
    <t>NOTCH1</t>
  </si>
  <si>
    <t>NOTCH4</t>
  </si>
  <si>
    <t>NOX4</t>
  </si>
  <si>
    <t>NPR3</t>
  </si>
  <si>
    <t>NTRK3</t>
  </si>
  <si>
    <t>NUCB1</t>
  </si>
  <si>
    <t>NUDT15</t>
  </si>
  <si>
    <t>NXF1</t>
  </si>
  <si>
    <t>OTUB1</t>
  </si>
  <si>
    <t>OVGP1</t>
  </si>
  <si>
    <t>P3H2</t>
  </si>
  <si>
    <t>PARM1</t>
  </si>
  <si>
    <t>PCA3</t>
  </si>
  <si>
    <t>PCNA</t>
  </si>
  <si>
    <t>PCSK6</t>
  </si>
  <si>
    <t>PDE4DIP</t>
  </si>
  <si>
    <t>PDPK1</t>
  </si>
  <si>
    <t>PGRMC1</t>
  </si>
  <si>
    <t>PHACTR2</t>
  </si>
  <si>
    <t>PHF1</t>
  </si>
  <si>
    <t>PIK3R3</t>
  </si>
  <si>
    <t>PLEKHH2</t>
  </si>
  <si>
    <t>PNRC1</t>
  </si>
  <si>
    <t>POU5F1</t>
  </si>
  <si>
    <t>PRIM2</t>
  </si>
  <si>
    <t>PSTK</t>
  </si>
  <si>
    <t>PTK2</t>
  </si>
  <si>
    <t>PTPN1</t>
  </si>
  <si>
    <t>PTPRM</t>
  </si>
  <si>
    <t>RALY</t>
  </si>
  <si>
    <t>RAMP1</t>
  </si>
  <si>
    <t>RASSF1</t>
  </si>
  <si>
    <t>RASSF8</t>
  </si>
  <si>
    <t>RB1</t>
  </si>
  <si>
    <t>RET</t>
  </si>
  <si>
    <t>RGMB</t>
  </si>
  <si>
    <t>RMI2</t>
  </si>
  <si>
    <t>ROBO1</t>
  </si>
  <si>
    <t>ROBO2</t>
  </si>
  <si>
    <t>RPGR</t>
  </si>
  <si>
    <t>RPTOR</t>
  </si>
  <si>
    <t>RXFP1</t>
  </si>
  <si>
    <t>SEMA4G</t>
  </si>
  <si>
    <t>SEPTIN 9</t>
  </si>
  <si>
    <t>SERPINB5</t>
  </si>
  <si>
    <t>SHB</t>
  </si>
  <si>
    <t>SIGMAR1</t>
  </si>
  <si>
    <t>SLC15A2</t>
  </si>
  <si>
    <t>SLC1A5</t>
  </si>
  <si>
    <t>SLC45A3</t>
  </si>
  <si>
    <t>SLC5A12</t>
  </si>
  <si>
    <t>SLC6A14</t>
  </si>
  <si>
    <t>SLC7A8</t>
  </si>
  <si>
    <t>SMAD3</t>
  </si>
  <si>
    <t>SMAD4</t>
  </si>
  <si>
    <t>SMC4</t>
  </si>
  <si>
    <t>SMPDL3A</t>
  </si>
  <si>
    <t>SOX2</t>
  </si>
  <si>
    <t>SOX9</t>
  </si>
  <si>
    <t>SPINK1</t>
  </si>
  <si>
    <t>SRC</t>
  </si>
  <si>
    <t>SRD5A2</t>
  </si>
  <si>
    <t>SRP14</t>
  </si>
  <si>
    <t>STARD10</t>
  </si>
  <si>
    <t>STAT3</t>
  </si>
  <si>
    <t>STAT5A</t>
  </si>
  <si>
    <t>SULT2A1</t>
  </si>
  <si>
    <t>SWT1</t>
  </si>
  <si>
    <t>TACC2</t>
  </si>
  <si>
    <t>TAF6L</t>
  </si>
  <si>
    <t>TEC</t>
  </si>
  <si>
    <t>TFDP1</t>
  </si>
  <si>
    <t>TGFA</t>
  </si>
  <si>
    <t>TGFB3</t>
  </si>
  <si>
    <t>THSD7A</t>
  </si>
  <si>
    <t>TNFAIP2</t>
  </si>
  <si>
    <t>TOP2A</t>
  </si>
  <si>
    <t>TP53</t>
  </si>
  <si>
    <t>TP63</t>
  </si>
  <si>
    <t>TRIM29</t>
  </si>
  <si>
    <t>TSHR</t>
  </si>
  <si>
    <t>TUFT1</t>
  </si>
  <si>
    <t>TXNL4B</t>
  </si>
  <si>
    <t>TYRO3</t>
  </si>
  <si>
    <t>UBE2L6</t>
  </si>
  <si>
    <t>UNC119</t>
  </si>
  <si>
    <t>VGLL3</t>
  </si>
  <si>
    <t>WDR82</t>
  </si>
  <si>
    <t>WHSC1</t>
  </si>
  <si>
    <t>WNT5A</t>
  </si>
  <si>
    <t>WRAP73</t>
  </si>
  <si>
    <t>WWOX</t>
  </si>
  <si>
    <t>ZEB1-AS1</t>
  </si>
  <si>
    <t>ZNF202</t>
  </si>
  <si>
    <t>ZNF334</t>
  </si>
  <si>
    <t>ZNF684</t>
  </si>
  <si>
    <t>ZNF7</t>
  </si>
  <si>
    <t>ZSCAN29</t>
  </si>
  <si>
    <t>Comment</t>
    <phoneticPr fontId="2" type="noConversion"/>
  </si>
  <si>
    <t>0/4</t>
    <phoneticPr fontId="2" type="noConversion"/>
  </si>
  <si>
    <t>2/11</t>
    <phoneticPr fontId="2" type="noConversion"/>
  </si>
  <si>
    <t>5/5</t>
    <phoneticPr fontId="2" type="noConversion"/>
  </si>
  <si>
    <t>11/11</t>
    <phoneticPr fontId="2" type="noConversion"/>
  </si>
  <si>
    <t>4/4</t>
    <phoneticPr fontId="2" type="noConversion"/>
  </si>
  <si>
    <t>19/22</t>
    <phoneticPr fontId="2" type="noConversion"/>
  </si>
  <si>
    <t>3/6</t>
    <phoneticPr fontId="2" type="noConversion"/>
  </si>
  <si>
    <t>21/23</t>
    <phoneticPr fontId="2" type="noConversion"/>
  </si>
  <si>
    <t>0/5</t>
    <phoneticPr fontId="2" type="noConversion"/>
  </si>
  <si>
    <t>2/21</t>
    <phoneticPr fontId="2" type="noConversion"/>
  </si>
  <si>
    <t>Epithelial
Gene?</t>
    <phoneticPr fontId="2" type="noConversion"/>
  </si>
  <si>
    <t>Stromal
Gene?</t>
    <phoneticPr fontId="2" type="noConversion"/>
  </si>
  <si>
    <t>√</t>
    <phoneticPr fontId="2" type="noConversion"/>
  </si>
  <si>
    <t>1/1</t>
    <phoneticPr fontId="2" type="noConversion"/>
  </si>
  <si>
    <t>Need 
double
check?</t>
    <phoneticPr fontId="2" type="noConversion"/>
  </si>
  <si>
    <t>Exclude?</t>
    <phoneticPr fontId="2" type="noConversion"/>
  </si>
  <si>
    <t>ERP29</t>
    <phoneticPr fontId="2" type="noConversion"/>
  </si>
  <si>
    <t>Comment</t>
    <phoneticPr fontId="2" type="noConversion"/>
  </si>
  <si>
    <t>no IHC images</t>
    <phoneticPr fontId="2" type="noConversion"/>
  </si>
  <si>
    <t>Proved to be both E and S gene in expression analysis,
but is more a S gene in IHC images</t>
    <phoneticPr fontId="2" type="noConversion"/>
  </si>
  <si>
    <t>Both expressed in E and S in IHC images</t>
    <phoneticPr fontId="2" type="noConversion"/>
  </si>
  <si>
    <t>2/6</t>
    <phoneticPr fontId="2" type="noConversion"/>
  </si>
  <si>
    <t>6/10</t>
    <phoneticPr fontId="2" type="noConversion"/>
  </si>
  <si>
    <t>14/21</t>
    <phoneticPr fontId="2" type="noConversion"/>
  </si>
  <si>
    <t>Epithelium-specific
expression in healthy people</t>
    <phoneticPr fontId="2" type="noConversion"/>
  </si>
  <si>
    <t>Epithelium-specific
expression in patients</t>
    <phoneticPr fontId="2" type="noConversion"/>
  </si>
  <si>
    <t>0/2</t>
    <phoneticPr fontId="2" type="noConversion"/>
  </si>
  <si>
    <t>3/13</t>
    <phoneticPr fontId="2" type="noConversion"/>
  </si>
  <si>
    <t>2/3</t>
    <phoneticPr fontId="2" type="noConversion"/>
  </si>
  <si>
    <t>11/12</t>
    <phoneticPr fontId="2" type="noConversion"/>
  </si>
  <si>
    <t>8/9</t>
    <phoneticPr fontId="2" type="noConversion"/>
  </si>
  <si>
    <t>25/27</t>
    <phoneticPr fontId="2" type="noConversion"/>
  </si>
  <si>
    <t>4/4</t>
    <phoneticPr fontId="2" type="noConversion"/>
  </si>
  <si>
    <t>14/14</t>
    <phoneticPr fontId="2" type="noConversion"/>
  </si>
  <si>
    <t>1/3</t>
    <phoneticPr fontId="2" type="noConversion"/>
  </si>
  <si>
    <t>10/11</t>
    <phoneticPr fontId="2" type="noConversion"/>
  </si>
  <si>
    <t>0/10</t>
    <phoneticPr fontId="2" type="noConversion"/>
  </si>
  <si>
    <t>4/6</t>
    <phoneticPr fontId="2" type="noConversion"/>
  </si>
  <si>
    <t>19/22</t>
    <phoneticPr fontId="2" type="noConversion"/>
  </si>
  <si>
    <t>8/11</t>
    <phoneticPr fontId="2" type="noConversion"/>
  </si>
  <si>
    <t>3/3</t>
    <phoneticPr fontId="2" type="noConversion"/>
  </si>
  <si>
    <t>12/12</t>
    <phoneticPr fontId="2" type="noConversion"/>
  </si>
  <si>
    <t>9/9</t>
    <phoneticPr fontId="2" type="noConversion"/>
  </si>
  <si>
    <t>1/2</t>
    <phoneticPr fontId="2" type="noConversion"/>
  </si>
  <si>
    <t>1/6</t>
    <phoneticPr fontId="2" type="noConversion"/>
  </si>
  <si>
    <t>10/21</t>
    <phoneticPr fontId="2" type="noConversion"/>
  </si>
  <si>
    <t>10/22</t>
    <phoneticPr fontId="2" type="noConversion"/>
  </si>
  <si>
    <t>Both expression analysis and IHC images proved that 
both epithelial and stromal expression exist in samples.</t>
    <phoneticPr fontId="2" type="noConversion"/>
  </si>
  <si>
    <t>0/4</t>
    <phoneticPr fontId="2" type="noConversion"/>
  </si>
  <si>
    <t>3/8</t>
    <phoneticPr fontId="2" type="noConversion"/>
  </si>
  <si>
    <t>17/23</t>
    <phoneticPr fontId="2" type="noConversion"/>
  </si>
  <si>
    <t>9/10</t>
    <phoneticPr fontId="2" type="noConversion"/>
  </si>
  <si>
    <t>Both expressed in E and S in IHC,
but either is not specific</t>
    <phoneticPr fontId="2" type="noConversion"/>
  </si>
  <si>
    <t>5/5</t>
    <phoneticPr fontId="2" type="noConversion"/>
  </si>
  <si>
    <t>15/21</t>
    <phoneticPr fontId="2" type="noConversion"/>
  </si>
  <si>
    <t>8/12</t>
    <phoneticPr fontId="2" type="noConversion"/>
  </si>
  <si>
    <t>Stroma-specific
expression in healthy people</t>
    <phoneticPr fontId="2" type="noConversion"/>
  </si>
  <si>
    <t>Stroma-specific
expression in patients</t>
    <phoneticPr fontId="2" type="noConversion"/>
  </si>
  <si>
    <t>0/4</t>
    <phoneticPr fontId="2" type="noConversion"/>
  </si>
  <si>
    <t>0/5</t>
    <phoneticPr fontId="2" type="noConversion"/>
  </si>
  <si>
    <t>2/21</t>
    <phoneticPr fontId="2" type="noConversion"/>
  </si>
  <si>
    <t>1/22</t>
    <phoneticPr fontId="2" type="noConversion"/>
  </si>
  <si>
    <t>2/2</t>
    <phoneticPr fontId="2" type="noConversion"/>
  </si>
  <si>
    <t>8/12</t>
    <phoneticPr fontId="2" type="noConversion"/>
  </si>
  <si>
    <t>0/3</t>
    <phoneticPr fontId="2" type="noConversion"/>
  </si>
  <si>
    <t>1/11</t>
    <phoneticPr fontId="2" type="noConversion"/>
  </si>
  <si>
    <t>Both expressed in E and S in IHC images,
but neither is specific</t>
    <phoneticPr fontId="2" type="noConversion"/>
  </si>
  <si>
    <t>0/9</t>
    <phoneticPr fontId="2" type="noConversion"/>
  </si>
  <si>
    <t>0/6</t>
    <phoneticPr fontId="2" type="noConversion"/>
  </si>
  <si>
    <t>0/20</t>
    <phoneticPr fontId="2" type="noConversion"/>
  </si>
  <si>
    <t>1/4</t>
    <phoneticPr fontId="2" type="noConversion"/>
  </si>
  <si>
    <t>7/15</t>
    <phoneticPr fontId="2" type="noConversion"/>
  </si>
  <si>
    <t>0/2</t>
    <phoneticPr fontId="2" type="noConversion"/>
  </si>
  <si>
    <t>0/10</t>
    <phoneticPr fontId="2" type="noConversion"/>
  </si>
  <si>
    <t>It is more an E gene in IHC images</t>
    <phoneticPr fontId="2" type="noConversion"/>
  </si>
  <si>
    <t>1/2</t>
    <phoneticPr fontId="2" type="noConversion"/>
  </si>
  <si>
    <t>4/15</t>
    <phoneticPr fontId="2" type="noConversion"/>
  </si>
  <si>
    <t>5/6</t>
    <phoneticPr fontId="2" type="noConversion"/>
  </si>
  <si>
    <t>25/33</t>
    <phoneticPr fontId="2" type="noConversion"/>
  </si>
  <si>
    <t>3/3</t>
    <phoneticPr fontId="2" type="noConversion"/>
  </si>
  <si>
    <t>21/23</t>
    <phoneticPr fontId="2" type="noConversion"/>
  </si>
  <si>
    <t>0/11</t>
    <phoneticPr fontId="2" type="noConversion"/>
  </si>
  <si>
    <t>5/9</t>
    <phoneticPr fontId="2" type="noConversion"/>
  </si>
  <si>
    <t>0/19</t>
    <phoneticPr fontId="2" type="noConversion"/>
  </si>
  <si>
    <t>2/7</t>
    <phoneticPr fontId="2" type="noConversion"/>
  </si>
  <si>
    <t>5/20</t>
    <phoneticPr fontId="2" type="noConversion"/>
  </si>
  <si>
    <t>3/4</t>
    <phoneticPr fontId="2" type="noConversion"/>
  </si>
  <si>
    <t>16/21</t>
    <phoneticPr fontId="2" type="noConversion"/>
  </si>
  <si>
    <t>no IHC images</t>
    <phoneticPr fontId="2" type="noConversion"/>
  </si>
  <si>
    <t>0/8</t>
    <phoneticPr fontId="2" type="noConversion"/>
  </si>
  <si>
    <t>4/5</t>
    <phoneticPr fontId="2" type="noConversion"/>
  </si>
  <si>
    <t>22/26</t>
    <phoneticPr fontId="2" type="noConversion"/>
  </si>
  <si>
    <t>no IHC images</t>
    <phoneticPr fontId="2" type="noConversion"/>
  </si>
  <si>
    <t>6/6</t>
    <phoneticPr fontId="2" type="noConversion"/>
  </si>
  <si>
    <t>22/23</t>
    <phoneticPr fontId="2" type="noConversion"/>
  </si>
  <si>
    <t>0/3</t>
    <phoneticPr fontId="2" type="noConversion"/>
  </si>
  <si>
    <t>0/10</t>
    <phoneticPr fontId="2" type="noConversion"/>
  </si>
  <si>
    <t>0/2</t>
    <phoneticPr fontId="2" type="noConversion"/>
  </si>
  <si>
    <t>2/3</t>
    <phoneticPr fontId="2" type="noConversion"/>
  </si>
  <si>
    <t>5/14</t>
    <phoneticPr fontId="2" type="noConversion"/>
  </si>
  <si>
    <t>9/12</t>
    <phoneticPr fontId="2" type="noConversion"/>
  </si>
  <si>
    <t>0/3</t>
    <phoneticPr fontId="2" type="noConversion"/>
  </si>
  <si>
    <t>0/10</t>
    <phoneticPr fontId="2" type="noConversion"/>
  </si>
  <si>
    <t>7/8</t>
    <phoneticPr fontId="2" type="noConversion"/>
  </si>
  <si>
    <t>32/48</t>
    <phoneticPr fontId="2" type="noConversion"/>
  </si>
  <si>
    <t>5/5</t>
    <phoneticPr fontId="2" type="noConversion"/>
  </si>
  <si>
    <t>25/29</t>
    <phoneticPr fontId="2" type="noConversion"/>
  </si>
  <si>
    <t>3/3</t>
    <phoneticPr fontId="2" type="noConversion"/>
  </si>
  <si>
    <t>11/23</t>
    <phoneticPr fontId="2" type="noConversion"/>
  </si>
  <si>
    <t>One cluster of images have strong intensity,
while the others have little.</t>
    <phoneticPr fontId="2" type="noConversion"/>
  </si>
  <si>
    <t>5/7</t>
    <phoneticPr fontId="2" type="noConversion"/>
  </si>
  <si>
    <t>14/23</t>
    <phoneticPr fontId="2" type="noConversion"/>
  </si>
  <si>
    <t>0/2</t>
    <phoneticPr fontId="2" type="noConversion"/>
  </si>
  <si>
    <t>0/11</t>
    <phoneticPr fontId="2" type="noConversion"/>
  </si>
  <si>
    <t>11/11</t>
    <phoneticPr fontId="2" type="noConversion"/>
  </si>
  <si>
    <t>0/5</t>
    <phoneticPr fontId="2" type="noConversion"/>
  </si>
  <si>
    <t>1/23</t>
    <phoneticPr fontId="2" type="noConversion"/>
  </si>
  <si>
    <t>25/41</t>
    <phoneticPr fontId="2" type="noConversion"/>
  </si>
  <si>
    <t>0/12</t>
    <phoneticPr fontId="2" type="noConversion"/>
  </si>
  <si>
    <t>1/3</t>
    <phoneticPr fontId="2" type="noConversion"/>
  </si>
  <si>
    <t>3/12</t>
    <phoneticPr fontId="2" type="noConversion"/>
  </si>
  <si>
    <t>1/20</t>
    <phoneticPr fontId="2" type="noConversion"/>
  </si>
  <si>
    <t>0/4</t>
    <phoneticPr fontId="2" type="noConversion"/>
  </si>
  <si>
    <t>2/2</t>
    <phoneticPr fontId="2" type="noConversion"/>
  </si>
  <si>
    <t>2/11</t>
    <phoneticPr fontId="2" type="noConversion"/>
  </si>
  <si>
    <t>0/6</t>
    <phoneticPr fontId="2" type="noConversion"/>
  </si>
  <si>
    <t>0/21</t>
    <phoneticPr fontId="2" type="noConversion"/>
  </si>
  <si>
    <t>9/11</t>
    <phoneticPr fontId="2" type="noConversion"/>
  </si>
  <si>
    <t>4/12</t>
    <phoneticPr fontId="2" type="noConversion"/>
  </si>
  <si>
    <t>Expressed in S but the intensity is low</t>
    <phoneticPr fontId="2" type="noConversion"/>
  </si>
  <si>
    <t>Discontinuously stained in stromal nuclei</t>
    <phoneticPr fontId="2" type="noConversion"/>
  </si>
  <si>
    <t>3/4</t>
    <phoneticPr fontId="2" type="noConversion"/>
  </si>
  <si>
    <t>10/18</t>
    <phoneticPr fontId="2" type="noConversion"/>
  </si>
  <si>
    <t>0/9</t>
    <phoneticPr fontId="2" type="noConversion"/>
  </si>
  <si>
    <t>5/5</t>
    <phoneticPr fontId="2" type="noConversion"/>
  </si>
  <si>
    <t>16/20</t>
    <phoneticPr fontId="2" type="noConversion"/>
  </si>
  <si>
    <t>0/4</t>
    <phoneticPr fontId="2" type="noConversion"/>
  </si>
  <si>
    <t>0/25</t>
    <phoneticPr fontId="2" type="noConversion"/>
  </si>
  <si>
    <t>2/3</t>
    <phoneticPr fontId="2" type="noConversion"/>
  </si>
  <si>
    <t>4/10</t>
    <phoneticPr fontId="2" type="noConversion"/>
  </si>
  <si>
    <t>0/2</t>
    <phoneticPr fontId="2" type="noConversion"/>
  </si>
  <si>
    <t>0/10</t>
    <phoneticPr fontId="2" type="noConversion"/>
  </si>
  <si>
    <t>15/21</t>
    <phoneticPr fontId="2" type="noConversion"/>
  </si>
  <si>
    <t>2/2</t>
    <phoneticPr fontId="2" type="noConversion"/>
  </si>
  <si>
    <t>10/11</t>
    <phoneticPr fontId="2" type="noConversion"/>
  </si>
  <si>
    <t>0/6</t>
    <phoneticPr fontId="2" type="noConversion"/>
  </si>
  <si>
    <t>0/24</t>
    <phoneticPr fontId="2" type="noConversion"/>
  </si>
  <si>
    <t>0/22</t>
    <phoneticPr fontId="2" type="noConversion"/>
  </si>
  <si>
    <t>0/5</t>
    <phoneticPr fontId="2" type="noConversion"/>
  </si>
  <si>
    <t>2/19</t>
    <phoneticPr fontId="2" type="noConversion"/>
  </si>
  <si>
    <t>0/3</t>
    <phoneticPr fontId="2" type="noConversion"/>
  </si>
  <si>
    <t>0/11</t>
    <phoneticPr fontId="2" type="noConversion"/>
  </si>
  <si>
    <t>Stained in stroma darkly,
but also stained in epithelium in some cases</t>
  </si>
  <si>
    <t>Stained in cancer stroma more darkly than normal</t>
  </si>
  <si>
    <t>Stained in stromal nuclei in some cases.
But darker in epithelial cells in others.</t>
    <phoneticPr fontId="2" type="noConversion"/>
  </si>
  <si>
    <t>Stained in stroma but not very dark</t>
  </si>
  <si>
    <t>Stained lightly in stroma of several cases</t>
    <phoneticPr fontId="2" type="noConversion"/>
  </si>
  <si>
    <t>1/10</t>
    <phoneticPr fontId="2" type="noConversion"/>
  </si>
  <si>
    <t>6/11</t>
    <phoneticPr fontId="2" type="noConversion"/>
  </si>
  <si>
    <t>1/4</t>
    <phoneticPr fontId="2" type="noConversion"/>
  </si>
  <si>
    <t>7/18</t>
    <phoneticPr fontId="2" type="noConversion"/>
  </si>
  <si>
    <t>Stained in stroma specifically of several cases,
but no staining in others</t>
    <phoneticPr fontId="2" type="noConversion"/>
  </si>
  <si>
    <t>0/16</t>
    <phoneticPr fontId="2" type="noConversion"/>
  </si>
  <si>
    <t>2/9</t>
    <phoneticPr fontId="2" type="noConversion"/>
  </si>
  <si>
    <t>5/12</t>
    <phoneticPr fontId="2" type="noConversion"/>
  </si>
  <si>
    <t>4/8</t>
    <phoneticPr fontId="2" type="noConversion"/>
  </si>
  <si>
    <t>18/30</t>
    <phoneticPr fontId="2" type="noConversion"/>
  </si>
  <si>
    <t>Stained not only in stroma,
but also in basal cells of epithelium</t>
    <phoneticPr fontId="2" type="noConversion"/>
  </si>
  <si>
    <t>0/12</t>
    <phoneticPr fontId="2" type="noConversion"/>
  </si>
  <si>
    <t>5/6</t>
    <phoneticPr fontId="2" type="noConversion"/>
  </si>
  <si>
    <t>19/20</t>
    <phoneticPr fontId="2" type="noConversion"/>
  </si>
  <si>
    <t>2/3</t>
    <phoneticPr fontId="2" type="noConversion"/>
  </si>
  <si>
    <t>0/3</t>
    <phoneticPr fontId="2" type="noConversion"/>
  </si>
  <si>
    <t>7/10</t>
    <phoneticPr fontId="2" type="noConversion"/>
  </si>
  <si>
    <t>0/10</t>
    <phoneticPr fontId="2" type="noConversion"/>
  </si>
  <si>
    <t>2/4</t>
    <phoneticPr fontId="2" type="noConversion"/>
  </si>
  <si>
    <t>0/4</t>
    <phoneticPr fontId="2" type="noConversion"/>
  </si>
  <si>
    <t>17/19</t>
    <phoneticPr fontId="2" type="noConversion"/>
  </si>
  <si>
    <t>0/19</t>
    <phoneticPr fontId="2" type="noConversion"/>
  </si>
  <si>
    <t>2/12</t>
    <phoneticPr fontId="2" type="noConversion"/>
  </si>
  <si>
    <t>0/12</t>
    <phoneticPr fontId="2" type="noConversion"/>
  </si>
  <si>
    <t>Comment</t>
    <phoneticPr fontId="2" type="noConversion"/>
  </si>
  <si>
    <t>0/2</t>
    <phoneticPr fontId="2" type="noConversion"/>
  </si>
  <si>
    <t>2/2</t>
    <phoneticPr fontId="2" type="noConversion"/>
  </si>
  <si>
    <t>8/10</t>
    <phoneticPr fontId="2" type="noConversion"/>
  </si>
  <si>
    <t>1/4</t>
    <phoneticPr fontId="2" type="noConversion"/>
  </si>
  <si>
    <t>8/20</t>
    <phoneticPr fontId="2" type="noConversion"/>
  </si>
  <si>
    <t>0/20</t>
    <phoneticPr fontId="2" type="noConversion"/>
  </si>
  <si>
    <t>0/6</t>
    <phoneticPr fontId="2" type="noConversion"/>
  </si>
  <si>
    <t>1/6</t>
    <phoneticPr fontId="2" type="noConversion"/>
  </si>
  <si>
    <t>0/22</t>
    <phoneticPr fontId="2" type="noConversion"/>
  </si>
  <si>
    <t>1/12</t>
    <phoneticPr fontId="2" type="noConversion"/>
  </si>
  <si>
    <t>2/12</t>
    <phoneticPr fontId="2" type="noConversion"/>
  </si>
  <si>
    <t>0/5</t>
    <phoneticPr fontId="2" type="noConversion"/>
  </si>
  <si>
    <t>24/25</t>
    <phoneticPr fontId="2" type="noConversion"/>
  </si>
  <si>
    <t>0/25</t>
    <phoneticPr fontId="2" type="noConversion"/>
  </si>
  <si>
    <t>Only expressed in cancer epithelium</t>
    <phoneticPr fontId="2" type="noConversion"/>
  </si>
  <si>
    <t>0/3</t>
    <phoneticPr fontId="2" type="noConversion"/>
  </si>
  <si>
    <t>0/11</t>
    <phoneticPr fontId="2" type="noConversion"/>
  </si>
  <si>
    <t>0/2</t>
    <phoneticPr fontId="2" type="noConversion"/>
  </si>
  <si>
    <t>3/12</t>
    <phoneticPr fontId="2" type="noConversion"/>
  </si>
  <si>
    <t>0/12</t>
    <phoneticPr fontId="2" type="noConversion"/>
  </si>
  <si>
    <t>8/8</t>
    <phoneticPr fontId="2" type="noConversion"/>
  </si>
  <si>
    <t>0/8</t>
    <phoneticPr fontId="2" type="noConversion"/>
  </si>
  <si>
    <t>18/30</t>
    <phoneticPr fontId="2" type="noConversion"/>
  </si>
  <si>
    <t>4/30</t>
    <phoneticPr fontId="2" type="noConversion"/>
  </si>
  <si>
    <t>0/1</t>
    <phoneticPr fontId="2" type="noConversion"/>
  </si>
  <si>
    <t>3/18</t>
    <phoneticPr fontId="2" type="noConversion"/>
  </si>
  <si>
    <t>0/18</t>
    <phoneticPr fontId="2" type="noConversion"/>
  </si>
  <si>
    <t>Only stained lightly in several cases</t>
    <phoneticPr fontId="2" type="noConversion"/>
  </si>
  <si>
    <t>4/9</t>
    <phoneticPr fontId="2" type="noConversion"/>
  </si>
  <si>
    <t>0/9</t>
    <phoneticPr fontId="2" type="noConversion"/>
  </si>
  <si>
    <t>2/4</t>
    <phoneticPr fontId="2" type="noConversion"/>
  </si>
  <si>
    <t>0/4</t>
    <phoneticPr fontId="2" type="noConversion"/>
  </si>
  <si>
    <t>15/20</t>
    <phoneticPr fontId="2" type="noConversion"/>
  </si>
  <si>
    <t>0/20</t>
    <phoneticPr fontId="2" type="noConversion"/>
  </si>
  <si>
    <t>6/19</t>
    <phoneticPr fontId="2" type="noConversion"/>
  </si>
  <si>
    <t>0/19</t>
    <phoneticPr fontId="2" type="noConversion"/>
  </si>
  <si>
    <t>Epithelium-specific in some cases,
but stained in both cells in most cases</t>
    <phoneticPr fontId="2" type="noConversion"/>
  </si>
  <si>
    <t>2/3</t>
    <phoneticPr fontId="2" type="noConversion"/>
  </si>
  <si>
    <t>9/10</t>
    <phoneticPr fontId="2" type="noConversion"/>
  </si>
  <si>
    <t>0/10</t>
    <phoneticPr fontId="2" type="noConversion"/>
  </si>
  <si>
    <t>2/2</t>
    <phoneticPr fontId="2" type="noConversion"/>
  </si>
  <si>
    <t>10/11</t>
    <phoneticPr fontId="2" type="noConversion"/>
  </si>
  <si>
    <t>4/11</t>
    <phoneticPr fontId="2" type="noConversion"/>
  </si>
  <si>
    <t>3/10</t>
    <phoneticPr fontId="2" type="noConversion"/>
  </si>
  <si>
    <t>3/9</t>
    <phoneticPr fontId="2" type="noConversion"/>
  </si>
  <si>
    <t>Epithelium-specific in half of the cases,
but stained in both cells in the other half</t>
    <phoneticPr fontId="2" type="noConversion"/>
  </si>
  <si>
    <t>1/4</t>
    <phoneticPr fontId="2" type="noConversion"/>
  </si>
  <si>
    <t>0/23</t>
    <phoneticPr fontId="2" type="noConversion"/>
  </si>
  <si>
    <t>11/23</t>
    <phoneticPr fontId="2" type="noConversion"/>
  </si>
  <si>
    <t>One cluster of images have dark staining in stroma,
while the others have little.</t>
    <phoneticPr fontId="2" type="noConversion"/>
  </si>
  <si>
    <t>1/11</t>
    <phoneticPr fontId="2" type="noConversion"/>
  </si>
  <si>
    <t>1/3</t>
    <phoneticPr fontId="2" type="noConversion"/>
  </si>
  <si>
    <t>11/12</t>
    <phoneticPr fontId="2" type="noConversion"/>
  </si>
  <si>
    <t>3/3</t>
    <phoneticPr fontId="2" type="noConversion"/>
  </si>
  <si>
    <t>2/11</t>
    <phoneticPr fontId="2" type="noConversion"/>
  </si>
  <si>
    <t>Not specifically stained in a tissue type 
in most cases</t>
    <phoneticPr fontId="2" type="noConversion"/>
  </si>
  <si>
    <t>3/11</t>
    <phoneticPr fontId="2" type="noConversion"/>
  </si>
  <si>
    <t>√</t>
  </si>
  <si>
    <t>no IHC images</t>
    <phoneticPr fontId="2" type="noConversion"/>
  </si>
  <si>
    <t>5/6</t>
    <phoneticPr fontId="2" type="noConversion"/>
  </si>
  <si>
    <t>0/6</t>
    <phoneticPr fontId="2" type="noConversion"/>
  </si>
  <si>
    <t>15/22</t>
    <phoneticPr fontId="2" type="noConversion"/>
  </si>
  <si>
    <t>0/22</t>
    <phoneticPr fontId="2" type="noConversion"/>
  </si>
  <si>
    <t>0/2</t>
    <phoneticPr fontId="2" type="noConversion"/>
  </si>
  <si>
    <t>9/14</t>
    <phoneticPr fontId="2" type="noConversion"/>
  </si>
  <si>
    <t>0/14</t>
    <phoneticPr fontId="2" type="noConversion"/>
  </si>
  <si>
    <t>0/3</t>
    <phoneticPr fontId="2" type="noConversion"/>
  </si>
  <si>
    <t>1/10</t>
    <phoneticPr fontId="2" type="noConversion"/>
  </si>
  <si>
    <t>0/10</t>
    <phoneticPr fontId="2" type="noConversion"/>
  </si>
  <si>
    <t>0/1</t>
    <phoneticPr fontId="2" type="noConversion"/>
  </si>
  <si>
    <t>0/11</t>
    <phoneticPr fontId="2" type="noConversion"/>
  </si>
  <si>
    <t>4/10</t>
    <phoneticPr fontId="2" type="noConversion"/>
  </si>
  <si>
    <t>2/5</t>
    <phoneticPr fontId="2" type="noConversion"/>
  </si>
  <si>
    <t>1/5</t>
    <phoneticPr fontId="2" type="noConversion"/>
  </si>
  <si>
    <t>7/33</t>
    <phoneticPr fontId="2" type="noConversion"/>
  </si>
  <si>
    <t>2/33</t>
    <phoneticPr fontId="2" type="noConversion"/>
  </si>
  <si>
    <t>1/3</t>
    <phoneticPr fontId="2" type="noConversion"/>
  </si>
  <si>
    <t>7/14</t>
    <phoneticPr fontId="2" type="noConversion"/>
  </si>
  <si>
    <t>4/16</t>
    <phoneticPr fontId="2" type="noConversion"/>
  </si>
  <si>
    <t>0/16</t>
    <phoneticPr fontId="2" type="noConversion"/>
  </si>
  <si>
    <t>Stained in stroma in several cases but not darkly.
Classified as an E gene overall</t>
    <phoneticPr fontId="2" type="noConversion"/>
  </si>
  <si>
    <t>Stained in epithelium in several cases but not darkly.</t>
    <phoneticPr fontId="2" type="noConversion"/>
  </si>
  <si>
    <t>3/11</t>
    <phoneticPr fontId="2" type="noConversion"/>
  </si>
  <si>
    <t>1/4</t>
    <phoneticPr fontId="2" type="noConversion"/>
  </si>
  <si>
    <t>12/18</t>
    <phoneticPr fontId="2" type="noConversion"/>
  </si>
  <si>
    <t>0/18</t>
    <phoneticPr fontId="2" type="noConversion"/>
  </si>
  <si>
    <t>0/7</t>
    <phoneticPr fontId="2" type="noConversion"/>
  </si>
  <si>
    <t>0/6</t>
    <phoneticPr fontId="2" type="noConversion"/>
  </si>
  <si>
    <t>10/29</t>
    <phoneticPr fontId="2" type="noConversion"/>
  </si>
  <si>
    <t>0/29</t>
    <phoneticPr fontId="2" type="noConversion"/>
  </si>
  <si>
    <t>Epithelium-specific in several cases
but no staining in most ones</t>
    <phoneticPr fontId="2" type="noConversion"/>
  </si>
  <si>
    <t>0/17</t>
    <phoneticPr fontId="2" type="noConversion"/>
  </si>
  <si>
    <t>2/4</t>
    <phoneticPr fontId="2" type="noConversion"/>
  </si>
  <si>
    <t>0/12</t>
    <phoneticPr fontId="2" type="noConversion"/>
  </si>
  <si>
    <t>0/5</t>
    <phoneticPr fontId="2" type="noConversion"/>
  </si>
  <si>
    <t>4/14</t>
    <phoneticPr fontId="2" type="noConversion"/>
  </si>
  <si>
    <t>0/4</t>
    <phoneticPr fontId="2" type="noConversion"/>
  </si>
  <si>
    <t>Epithelium-specific light staining in several cases,
no staining in most ones</t>
    <phoneticPr fontId="2" type="noConversion"/>
  </si>
  <si>
    <t>1/11</t>
    <phoneticPr fontId="2" type="noConversion"/>
  </si>
  <si>
    <t>1/6</t>
    <phoneticPr fontId="2" type="noConversion"/>
  </si>
  <si>
    <t>1/22</t>
    <phoneticPr fontId="2" type="noConversion"/>
  </si>
  <si>
    <t>3/22</t>
    <phoneticPr fontId="2" type="noConversion"/>
  </si>
  <si>
    <t>12/21</t>
    <phoneticPr fontId="2" type="noConversion"/>
  </si>
  <si>
    <t>0/21</t>
    <phoneticPr fontId="2" type="noConversion"/>
  </si>
  <si>
    <t>1/2</t>
    <phoneticPr fontId="2" type="noConversion"/>
  </si>
  <si>
    <t>2/10</t>
    <phoneticPr fontId="2" type="noConversion"/>
  </si>
  <si>
    <t>1/9</t>
    <phoneticPr fontId="2" type="noConversion"/>
  </si>
  <si>
    <t>0/9</t>
    <phoneticPr fontId="2" type="noConversion"/>
  </si>
  <si>
    <t>5/8</t>
    <phoneticPr fontId="2" type="noConversion"/>
  </si>
  <si>
    <t>0/8</t>
    <phoneticPr fontId="2" type="noConversion"/>
  </si>
  <si>
    <t>9/10</t>
    <phoneticPr fontId="2" type="noConversion"/>
  </si>
  <si>
    <t>1/21</t>
    <phoneticPr fontId="2" type="noConversion"/>
  </si>
  <si>
    <t>3/6</t>
    <phoneticPr fontId="2" type="noConversion"/>
  </si>
  <si>
    <t>8/23</t>
    <phoneticPr fontId="2" type="noConversion"/>
  </si>
  <si>
    <t>0/23</t>
    <phoneticPr fontId="2" type="noConversion"/>
  </si>
  <si>
    <t>3/3</t>
    <phoneticPr fontId="2" type="noConversion"/>
  </si>
  <si>
    <t>10/11</t>
    <phoneticPr fontId="2" type="noConversion"/>
  </si>
  <si>
    <t>0/1</t>
    <phoneticPr fontId="2" type="noConversion"/>
  </si>
  <si>
    <t>1/1</t>
    <phoneticPr fontId="2" type="noConversion"/>
  </si>
  <si>
    <t>1/10</t>
    <phoneticPr fontId="2" type="noConversion"/>
  </si>
  <si>
    <t>3/10</t>
    <phoneticPr fontId="2" type="noConversion"/>
  </si>
  <si>
    <t>Stroma-specific in half of the cases,
but stained in both cells or not stained in the other half</t>
    <phoneticPr fontId="2" type="noConversion"/>
  </si>
  <si>
    <t>10/10</t>
    <phoneticPr fontId="2" type="noConversion"/>
  </si>
  <si>
    <t>0/10</t>
    <phoneticPr fontId="2" type="noConversion"/>
  </si>
  <si>
    <t>1/4</t>
    <phoneticPr fontId="2" type="noConversion"/>
  </si>
  <si>
    <t>0/4</t>
    <phoneticPr fontId="2" type="noConversion"/>
  </si>
  <si>
    <t>2/10</t>
    <phoneticPr fontId="2" type="noConversion"/>
  </si>
  <si>
    <t>3/4</t>
    <phoneticPr fontId="2" type="noConversion"/>
  </si>
  <si>
    <t>11/11</t>
    <phoneticPr fontId="2" type="noConversion"/>
  </si>
  <si>
    <t>0/11</t>
    <phoneticPr fontId="2" type="noConversion"/>
  </si>
  <si>
    <t>0/22</t>
    <phoneticPr fontId="2" type="noConversion"/>
  </si>
  <si>
    <t>2/5</t>
    <phoneticPr fontId="2" type="noConversion"/>
  </si>
  <si>
    <t>0/5</t>
    <phoneticPr fontId="2" type="noConversion"/>
  </si>
  <si>
    <t>15/18</t>
    <phoneticPr fontId="2" type="noConversion"/>
  </si>
  <si>
    <t>0/18</t>
    <phoneticPr fontId="2" type="noConversion"/>
  </si>
  <si>
    <t>0/3</t>
    <phoneticPr fontId="2" type="noConversion"/>
  </si>
  <si>
    <t>7/23</t>
    <phoneticPr fontId="2" type="noConversion"/>
  </si>
  <si>
    <t>0/23</t>
    <phoneticPr fontId="2" type="noConversion"/>
  </si>
  <si>
    <t>Epithelium-specific in several cases
but stained in both cell types in most ones</t>
    <phoneticPr fontId="2" type="noConversion"/>
  </si>
  <si>
    <t>1/5</t>
    <phoneticPr fontId="2" type="noConversion"/>
  </si>
  <si>
    <t>7/22</t>
    <phoneticPr fontId="2" type="noConversion"/>
  </si>
  <si>
    <t>9/12</t>
    <phoneticPr fontId="2" type="noConversion"/>
  </si>
  <si>
    <t>0/12</t>
    <phoneticPr fontId="2" type="noConversion"/>
  </si>
  <si>
    <t>0/2</t>
    <phoneticPr fontId="2" type="noConversion"/>
  </si>
  <si>
    <t>1/12</t>
    <phoneticPr fontId="2" type="noConversion"/>
  </si>
  <si>
    <t>3/6</t>
    <phoneticPr fontId="2" type="noConversion"/>
  </si>
  <si>
    <t>0/6</t>
    <phoneticPr fontId="2" type="noConversion"/>
  </si>
  <si>
    <t>8/22</t>
    <phoneticPr fontId="2" type="noConversion"/>
  </si>
  <si>
    <t>Epithelium and stroma-specific in several cases,
but no staining in most cases</t>
    <phoneticPr fontId="2" type="noConversion"/>
  </si>
  <si>
    <t>Darkly stained in stroma in several cases,
but not stained in stroma in most ones</t>
    <phoneticPr fontId="2" type="noConversion"/>
  </si>
  <si>
    <t>2/2</t>
    <phoneticPr fontId="2" type="noConversion"/>
  </si>
  <si>
    <t>7/10</t>
    <phoneticPr fontId="2" type="noConversion"/>
  </si>
  <si>
    <t>3/6</t>
    <phoneticPr fontId="2" type="noConversion"/>
  </si>
  <si>
    <t>0/6</t>
    <phoneticPr fontId="2" type="noConversion"/>
  </si>
  <si>
    <t>6/18</t>
    <phoneticPr fontId="2" type="noConversion"/>
  </si>
  <si>
    <t>2/18</t>
    <phoneticPr fontId="2" type="noConversion"/>
  </si>
  <si>
    <t>3/3</t>
    <phoneticPr fontId="2" type="noConversion"/>
  </si>
  <si>
    <t>0/3</t>
    <phoneticPr fontId="2" type="noConversion"/>
  </si>
  <si>
    <t>7/11</t>
    <phoneticPr fontId="2" type="noConversion"/>
  </si>
  <si>
    <t>0/11</t>
    <phoneticPr fontId="2" type="noConversion"/>
  </si>
  <si>
    <t>3/10</t>
    <phoneticPr fontId="2" type="noConversion"/>
  </si>
  <si>
    <t>2/10</t>
    <phoneticPr fontId="2" type="noConversion"/>
  </si>
  <si>
    <t>11/34</t>
    <phoneticPr fontId="2" type="noConversion"/>
  </si>
  <si>
    <t>6/34</t>
    <phoneticPr fontId="2" type="noConversion"/>
  </si>
  <si>
    <t>Epithelium or stroma-specific in some cases,
but stained in both cells in most cases</t>
    <phoneticPr fontId="2" type="noConversion"/>
  </si>
  <si>
    <t>Epithelium or stroma-specific in some cases,
but stained in both cells or not stained in most ones</t>
    <phoneticPr fontId="2" type="noConversion"/>
  </si>
  <si>
    <t>0/4</t>
    <phoneticPr fontId="2" type="noConversion"/>
  </si>
  <si>
    <t>1/22</t>
    <phoneticPr fontId="2" type="noConversion"/>
  </si>
  <si>
    <t>0/22</t>
    <phoneticPr fontId="2" type="noConversion"/>
  </si>
  <si>
    <t>0/3</t>
    <phoneticPr fontId="2" type="noConversion"/>
  </si>
  <si>
    <t>7/11</t>
    <phoneticPr fontId="2" type="noConversion"/>
  </si>
  <si>
    <t>0/11</t>
    <phoneticPr fontId="2" type="noConversion"/>
  </si>
  <si>
    <t>1/3</t>
    <phoneticPr fontId="2" type="noConversion"/>
  </si>
  <si>
    <t>9/11</t>
    <phoneticPr fontId="2" type="noConversion"/>
  </si>
  <si>
    <t>2/3</t>
    <phoneticPr fontId="2" type="noConversion"/>
  </si>
  <si>
    <t>0/3</t>
    <phoneticPr fontId="2" type="noConversion"/>
  </si>
  <si>
    <t>9/10</t>
    <phoneticPr fontId="2" type="noConversion"/>
  </si>
  <si>
    <t>0/10</t>
    <phoneticPr fontId="2" type="noConversion"/>
  </si>
  <si>
    <t>3/5</t>
    <phoneticPr fontId="2" type="noConversion"/>
  </si>
  <si>
    <t>0/5</t>
    <phoneticPr fontId="2" type="noConversion"/>
  </si>
  <si>
    <t>10/20</t>
    <phoneticPr fontId="2" type="noConversion"/>
  </si>
  <si>
    <t>Epithelium-specific light staining in half of the cases,
no staining in others</t>
    <phoneticPr fontId="2" type="noConversion"/>
  </si>
  <si>
    <t>Epithelium-specific staining in half of the cases,
no staining in others</t>
    <phoneticPr fontId="2" type="noConversion"/>
  </si>
  <si>
    <t>14/17</t>
    <phoneticPr fontId="2" type="noConversion"/>
  </si>
  <si>
    <t>0/17</t>
    <phoneticPr fontId="2" type="noConversion"/>
  </si>
  <si>
    <t>3/3</t>
    <phoneticPr fontId="2" type="noConversion"/>
  </si>
  <si>
    <t>0/12</t>
    <phoneticPr fontId="2" type="noConversion"/>
  </si>
  <si>
    <t>6/12</t>
    <phoneticPr fontId="2" type="noConversion"/>
  </si>
  <si>
    <t>2/2</t>
    <phoneticPr fontId="2" type="noConversion"/>
  </si>
  <si>
    <t>0/2</t>
    <phoneticPr fontId="2" type="noConversion"/>
  </si>
  <si>
    <t>2/10</t>
    <phoneticPr fontId="2" type="noConversion"/>
  </si>
  <si>
    <t>1/10</t>
    <phoneticPr fontId="2" type="noConversion"/>
  </si>
  <si>
    <t>2/4</t>
    <phoneticPr fontId="2" type="noConversion"/>
  </si>
  <si>
    <t>0/4</t>
    <phoneticPr fontId="2" type="noConversion"/>
  </si>
  <si>
    <t>4/19</t>
    <phoneticPr fontId="2" type="noConversion"/>
  </si>
  <si>
    <t>1/19</t>
    <phoneticPr fontId="2" type="noConversion"/>
  </si>
  <si>
    <t>Epithelium-specific in several cases,
but stained in both cells or not stained in most cases</t>
    <phoneticPr fontId="2" type="noConversion"/>
  </si>
  <si>
    <t>0/1</t>
    <phoneticPr fontId="2" type="noConversion"/>
  </si>
  <si>
    <t>3/10</t>
    <phoneticPr fontId="2" type="noConversion"/>
  </si>
  <si>
    <t>1/4</t>
    <phoneticPr fontId="2" type="noConversion"/>
  </si>
  <si>
    <t>2/12</t>
    <phoneticPr fontId="2" type="noConversion"/>
  </si>
  <si>
    <t>5/12</t>
    <phoneticPr fontId="2" type="noConversion"/>
  </si>
  <si>
    <t>Epithelium or stroma-specific in some cases,
and stained in both cells in others</t>
    <phoneticPr fontId="2" type="noConversion"/>
  </si>
  <si>
    <t>3/8</t>
    <phoneticPr fontId="2" type="noConversion"/>
  </si>
  <si>
    <t>4/8</t>
    <phoneticPr fontId="2" type="noConversion"/>
  </si>
  <si>
    <t>5/34</t>
    <phoneticPr fontId="2" type="noConversion"/>
  </si>
  <si>
    <t>9/34</t>
    <phoneticPr fontId="2" type="noConversion"/>
  </si>
  <si>
    <t>Epithelium or stroma-specific in some cases,
but stained in both cells or not stained in most cases</t>
    <phoneticPr fontId="2" type="noConversion"/>
  </si>
  <si>
    <t>1/5</t>
    <phoneticPr fontId="2" type="noConversion"/>
  </si>
  <si>
    <t>2/29</t>
    <phoneticPr fontId="2" type="noConversion"/>
  </si>
  <si>
    <t>5/29</t>
    <phoneticPr fontId="2" type="noConversion"/>
  </si>
  <si>
    <t>10/23</t>
    <phoneticPr fontId="2" type="noConversion"/>
  </si>
  <si>
    <t>0/23</t>
    <phoneticPr fontId="2" type="noConversion"/>
  </si>
  <si>
    <t>8/10</t>
    <phoneticPr fontId="2" type="noConversion"/>
  </si>
  <si>
    <t>2/6</t>
    <phoneticPr fontId="2" type="noConversion"/>
  </si>
  <si>
    <t>0/6</t>
    <phoneticPr fontId="2" type="noConversion"/>
  </si>
  <si>
    <t>23/43</t>
    <phoneticPr fontId="2" type="noConversion"/>
  </si>
  <si>
    <t>0/43</t>
    <phoneticPr fontId="2" type="noConversion"/>
  </si>
  <si>
    <t>Epithelium-specific dark staining in half of the cases,
but stained in both cells or not stained in the other cases</t>
    <phoneticPr fontId="2" type="noConversion"/>
  </si>
  <si>
    <t>Epithelium-specific dark staining in half of the cases,
but stained in both cells in the other cases</t>
    <phoneticPr fontId="2" type="noConversion"/>
  </si>
  <si>
    <t>1/4</t>
    <phoneticPr fontId="2" type="noConversion"/>
  </si>
  <si>
    <t>0/4</t>
    <phoneticPr fontId="2" type="noConversion"/>
  </si>
  <si>
    <t>8/19</t>
    <phoneticPr fontId="2" type="noConversion"/>
  </si>
  <si>
    <t>0/19</t>
    <phoneticPr fontId="2" type="noConversion"/>
  </si>
  <si>
    <t>1/7</t>
    <phoneticPr fontId="2" type="noConversion"/>
  </si>
  <si>
    <t>0/7</t>
    <phoneticPr fontId="2" type="noConversion"/>
  </si>
  <si>
    <t>12/23</t>
    <phoneticPr fontId="2" type="noConversion"/>
  </si>
  <si>
    <t>0/23</t>
    <phoneticPr fontId="2" type="noConversion"/>
  </si>
  <si>
    <t>0/2</t>
    <phoneticPr fontId="2" type="noConversion"/>
  </si>
  <si>
    <t>0/12</t>
    <phoneticPr fontId="2" type="noConversion"/>
  </si>
  <si>
    <t>7/12</t>
    <phoneticPr fontId="2" type="noConversion"/>
  </si>
  <si>
    <t>3/7</t>
    <phoneticPr fontId="2" type="noConversion"/>
  </si>
  <si>
    <t>13/28</t>
    <phoneticPr fontId="2" type="noConversion"/>
  </si>
  <si>
    <t>0/28</t>
    <phoneticPr fontId="2" type="noConversion"/>
  </si>
  <si>
    <t>Epithelium-specific light staining in several cases,
but stained in both cells or not stained in most cases</t>
    <phoneticPr fontId="2" type="noConversion"/>
  </si>
  <si>
    <t>4/10</t>
    <phoneticPr fontId="2" type="noConversion"/>
  </si>
  <si>
    <t>0/10</t>
    <phoneticPr fontId="2" type="noConversion"/>
  </si>
  <si>
    <t>Epithelium-specific in several cases,
but stained in both cells in most cases</t>
    <phoneticPr fontId="2" type="noConversion"/>
  </si>
  <si>
    <t>16/24</t>
    <phoneticPr fontId="2" type="noConversion"/>
  </si>
  <si>
    <t>0/24</t>
    <phoneticPr fontId="2" type="noConversion"/>
  </si>
  <si>
    <t>2/4</t>
    <phoneticPr fontId="2" type="noConversion"/>
  </si>
  <si>
    <t>6/10</t>
    <phoneticPr fontId="2" type="noConversion"/>
  </si>
  <si>
    <t>3/22</t>
    <phoneticPr fontId="2" type="noConversion"/>
  </si>
  <si>
    <t>0/22</t>
    <phoneticPr fontId="2" type="noConversion"/>
  </si>
  <si>
    <t>0/5</t>
    <phoneticPr fontId="2" type="noConversion"/>
  </si>
  <si>
    <t>10/21</t>
    <phoneticPr fontId="2" type="noConversion"/>
  </si>
  <si>
    <t>0/21</t>
    <phoneticPr fontId="2" type="noConversion"/>
  </si>
  <si>
    <t>Epithelium-specific light staining in several cases,
but not stained in most cases</t>
    <phoneticPr fontId="2" type="noConversion"/>
  </si>
  <si>
    <t>5/11</t>
    <phoneticPr fontId="2" type="noConversion"/>
  </si>
  <si>
    <t>0/11</t>
    <phoneticPr fontId="2" type="noConversion"/>
  </si>
  <si>
    <t>2/2</t>
    <phoneticPr fontId="2" type="noConversion"/>
  </si>
  <si>
    <t>12/12</t>
    <phoneticPr fontId="2" type="noConversion"/>
  </si>
  <si>
    <t>5/6</t>
    <phoneticPr fontId="2" type="noConversion"/>
  </si>
  <si>
    <t>0/6</t>
    <phoneticPr fontId="2" type="noConversion"/>
  </si>
  <si>
    <t>16/22</t>
    <phoneticPr fontId="2" type="noConversion"/>
  </si>
  <si>
    <t>4/4</t>
    <phoneticPr fontId="2" type="noConversion"/>
  </si>
  <si>
    <t>0/4</t>
    <phoneticPr fontId="2" type="noConversion"/>
  </si>
  <si>
    <t>16/29</t>
    <phoneticPr fontId="2" type="noConversion"/>
  </si>
  <si>
    <t>0/29</t>
    <phoneticPr fontId="2" type="noConversion"/>
  </si>
  <si>
    <t>3/4</t>
    <phoneticPr fontId="2" type="noConversion"/>
  </si>
  <si>
    <t>10/19</t>
    <phoneticPr fontId="2" type="noConversion"/>
  </si>
  <si>
    <t>1/3</t>
    <phoneticPr fontId="2" type="noConversion"/>
  </si>
  <si>
    <t>0/3</t>
    <phoneticPr fontId="2" type="noConversion"/>
  </si>
  <si>
    <t>7/17</t>
    <phoneticPr fontId="2" type="noConversion"/>
  </si>
  <si>
    <t>3/17</t>
    <phoneticPr fontId="2" type="noConversion"/>
  </si>
  <si>
    <t>0/19</t>
    <phoneticPr fontId="2" type="noConversion"/>
  </si>
  <si>
    <t>Epithelium-specific staining in some cases,
also stroma-secific staining in several cases</t>
    <phoneticPr fontId="2" type="noConversion"/>
  </si>
  <si>
    <t>2/5</t>
    <phoneticPr fontId="2" type="noConversion"/>
  </si>
  <si>
    <t>0/5</t>
    <phoneticPr fontId="2" type="noConversion"/>
  </si>
  <si>
    <t>3/18</t>
    <phoneticPr fontId="2" type="noConversion"/>
  </si>
  <si>
    <t>1/2</t>
    <phoneticPr fontId="2" type="noConversion"/>
  </si>
  <si>
    <t>0/2</t>
    <phoneticPr fontId="2" type="noConversion"/>
  </si>
  <si>
    <t>6/12</t>
    <phoneticPr fontId="2" type="noConversion"/>
  </si>
  <si>
    <t>1/12</t>
    <phoneticPr fontId="2" type="noConversion"/>
  </si>
  <si>
    <t>2/8</t>
    <phoneticPr fontId="2" type="noConversion"/>
  </si>
  <si>
    <t>0/8</t>
    <phoneticPr fontId="2" type="noConversion"/>
  </si>
  <si>
    <t>0/33</t>
    <phoneticPr fontId="2" type="noConversion"/>
  </si>
  <si>
    <t>7/8</t>
    <phoneticPr fontId="2" type="noConversion"/>
  </si>
  <si>
    <t>16/35</t>
    <phoneticPr fontId="2" type="noConversion"/>
  </si>
  <si>
    <t>0/35</t>
    <phoneticPr fontId="2" type="noConversion"/>
  </si>
  <si>
    <t>1/8</t>
    <phoneticPr fontId="2" type="noConversion"/>
  </si>
  <si>
    <t>2/21</t>
    <phoneticPr fontId="2" type="noConversion"/>
  </si>
  <si>
    <t>0/21</t>
    <phoneticPr fontId="2" type="noConversion"/>
  </si>
  <si>
    <t>3/5</t>
    <phoneticPr fontId="2" type="noConversion"/>
  </si>
  <si>
    <t>18/22</t>
    <phoneticPr fontId="2" type="noConversion"/>
  </si>
  <si>
    <t>0/22</t>
    <phoneticPr fontId="2" type="noConversion"/>
  </si>
  <si>
    <t>5/11</t>
    <phoneticPr fontId="2" type="noConversion"/>
  </si>
  <si>
    <t>0/11</t>
    <phoneticPr fontId="2" type="noConversion"/>
  </si>
  <si>
    <t>2/2</t>
    <phoneticPr fontId="2" type="noConversion"/>
  </si>
  <si>
    <t>2/12</t>
    <phoneticPr fontId="2" type="noConversion"/>
  </si>
  <si>
    <t>7/12</t>
    <phoneticPr fontId="2" type="noConversion"/>
  </si>
  <si>
    <t>Stained in epithelium in several cases but not darkly.
Classified as an S gene overall</t>
    <phoneticPr fontId="2" type="noConversion"/>
  </si>
  <si>
    <t>1/11</t>
    <phoneticPr fontId="2" type="noConversion"/>
  </si>
  <si>
    <t>no IHC images</t>
    <phoneticPr fontId="2" type="noConversion"/>
  </si>
  <si>
    <t>3/3</t>
    <phoneticPr fontId="2" type="noConversion"/>
  </si>
  <si>
    <t>0/10</t>
    <phoneticPr fontId="2" type="noConversion"/>
  </si>
  <si>
    <t>5/10</t>
    <phoneticPr fontId="2" type="noConversion"/>
  </si>
  <si>
    <t>4/5</t>
    <phoneticPr fontId="2" type="noConversion"/>
  </si>
  <si>
    <t>8/23</t>
    <phoneticPr fontId="2" type="noConversion"/>
  </si>
  <si>
    <t>1/23</t>
    <phoneticPr fontId="2" type="noConversion"/>
  </si>
  <si>
    <t>2/3</t>
    <phoneticPr fontId="2" type="noConversion"/>
  </si>
  <si>
    <t>0/3</t>
    <phoneticPr fontId="2" type="noConversion"/>
  </si>
  <si>
    <t>6/10</t>
    <phoneticPr fontId="2" type="noConversion"/>
  </si>
  <si>
    <t>0/10</t>
    <phoneticPr fontId="2" type="noConversion"/>
  </si>
  <si>
    <t>7/20</t>
    <phoneticPr fontId="2" type="noConversion"/>
  </si>
  <si>
    <t>0/20</t>
    <phoneticPr fontId="2" type="noConversion"/>
  </si>
  <si>
    <t>0/2</t>
    <phoneticPr fontId="2" type="noConversion"/>
  </si>
  <si>
    <t>5/13</t>
    <phoneticPr fontId="2" type="noConversion"/>
  </si>
  <si>
    <t>1/13</t>
    <phoneticPr fontId="2" type="noConversion"/>
  </si>
  <si>
    <t>Epithelium-specific light staining in several cases,
but stained in both cells in most cases</t>
    <phoneticPr fontId="2" type="noConversion"/>
  </si>
  <si>
    <t>0/8</t>
    <phoneticPr fontId="2" type="noConversion"/>
  </si>
  <si>
    <t>2/8</t>
    <phoneticPr fontId="2" type="noConversion"/>
  </si>
  <si>
    <t>0/22</t>
    <phoneticPr fontId="2" type="noConversion"/>
  </si>
  <si>
    <t>3/22</t>
    <phoneticPr fontId="2" type="noConversion"/>
  </si>
  <si>
    <t>1/6</t>
    <phoneticPr fontId="2" type="noConversion"/>
  </si>
  <si>
    <t>10/27</t>
    <phoneticPr fontId="2" type="noConversion"/>
  </si>
  <si>
    <t>3/27</t>
    <phoneticPr fontId="2" type="noConversion"/>
  </si>
  <si>
    <t>Epithelium-specific staining in several cases,
but stained in both cells in most cases</t>
    <phoneticPr fontId="2" type="noConversion"/>
  </si>
  <si>
    <t>8/11</t>
    <phoneticPr fontId="2" type="noConversion"/>
  </si>
  <si>
    <t>0/11</t>
    <phoneticPr fontId="2" type="noConversion"/>
  </si>
  <si>
    <t>0/13</t>
    <phoneticPr fontId="2" type="noConversion"/>
  </si>
  <si>
    <t>8/13</t>
    <phoneticPr fontId="2" type="noConversion"/>
  </si>
  <si>
    <t>9/11</t>
    <phoneticPr fontId="2" type="noConversion"/>
  </si>
  <si>
    <t>0/7</t>
    <phoneticPr fontId="2" type="noConversion"/>
  </si>
  <si>
    <t>7/31</t>
    <phoneticPr fontId="2" type="noConversion"/>
  </si>
  <si>
    <t>3/31</t>
    <phoneticPr fontId="2" type="noConversion"/>
  </si>
  <si>
    <t>0/2</t>
    <phoneticPr fontId="2" type="noConversion"/>
  </si>
  <si>
    <t>3/9</t>
    <phoneticPr fontId="2" type="noConversion"/>
  </si>
  <si>
    <t>0/9</t>
    <phoneticPr fontId="2" type="noConversion"/>
  </si>
  <si>
    <t>1/1</t>
    <phoneticPr fontId="2" type="noConversion"/>
  </si>
  <si>
    <t>0/1</t>
    <phoneticPr fontId="2" type="noConversion"/>
  </si>
  <si>
    <t>1/10</t>
    <phoneticPr fontId="2" type="noConversion"/>
  </si>
  <si>
    <t>0/10</t>
    <phoneticPr fontId="2" type="noConversion"/>
  </si>
  <si>
    <t>2/6</t>
    <phoneticPr fontId="2" type="noConversion"/>
  </si>
  <si>
    <t>0/6</t>
    <phoneticPr fontId="2" type="noConversion"/>
  </si>
  <si>
    <t>8/23</t>
    <phoneticPr fontId="2" type="noConversion"/>
  </si>
  <si>
    <t>0/23</t>
    <phoneticPr fontId="2" type="noConversion"/>
  </si>
  <si>
    <t>2/2</t>
    <phoneticPr fontId="2" type="noConversion"/>
  </si>
  <si>
    <t>9/11</t>
    <phoneticPr fontId="2" type="noConversion"/>
  </si>
  <si>
    <t>0/11</t>
    <phoneticPr fontId="2" type="noConversion"/>
  </si>
  <si>
    <t>3/6</t>
    <phoneticPr fontId="2" type="noConversion"/>
  </si>
  <si>
    <t>1/6</t>
    <phoneticPr fontId="2" type="noConversion"/>
  </si>
  <si>
    <t>8/21</t>
    <phoneticPr fontId="2" type="noConversion"/>
  </si>
  <si>
    <t>0/21</t>
    <phoneticPr fontId="2" type="noConversion"/>
  </si>
  <si>
    <t>4/4</t>
    <phoneticPr fontId="2" type="noConversion"/>
  </si>
  <si>
    <t>0/4</t>
    <phoneticPr fontId="2" type="noConversion"/>
  </si>
  <si>
    <t>7/12</t>
    <phoneticPr fontId="2" type="noConversion"/>
  </si>
  <si>
    <t>0/12</t>
    <phoneticPr fontId="2" type="noConversion"/>
  </si>
  <si>
    <t>0/3</t>
    <phoneticPr fontId="2" type="noConversion"/>
  </si>
  <si>
    <t>1/3</t>
    <phoneticPr fontId="2" type="noConversion"/>
  </si>
  <si>
    <t>1/12</t>
    <phoneticPr fontId="2" type="noConversion"/>
  </si>
  <si>
    <t>4/10</t>
    <phoneticPr fontId="2" type="noConversion"/>
  </si>
  <si>
    <t>11/11</t>
    <phoneticPr fontId="2" type="noConversion"/>
  </si>
  <si>
    <t>3/3</t>
    <phoneticPr fontId="2" type="noConversion"/>
  </si>
  <si>
    <t>15/18</t>
    <phoneticPr fontId="2" type="noConversion"/>
  </si>
  <si>
    <t>0/18</t>
    <phoneticPr fontId="2" type="noConversion"/>
  </si>
  <si>
    <t>0/7</t>
    <phoneticPr fontId="2" type="noConversion"/>
  </si>
  <si>
    <t>4/7</t>
    <phoneticPr fontId="2" type="noConversion"/>
  </si>
  <si>
    <t>2/23</t>
    <phoneticPr fontId="2" type="noConversion"/>
  </si>
  <si>
    <t>6/23</t>
    <phoneticPr fontId="2" type="noConversion"/>
  </si>
  <si>
    <t>0/3</t>
    <phoneticPr fontId="2" type="noConversion"/>
  </si>
  <si>
    <t>1/11</t>
    <phoneticPr fontId="2" type="noConversion"/>
  </si>
  <si>
    <t>0/11</t>
    <phoneticPr fontId="2" type="noConversion"/>
  </si>
  <si>
    <t>1/18</t>
    <phoneticPr fontId="2" type="noConversion"/>
  </si>
  <si>
    <t>11/18</t>
    <phoneticPr fontId="2" type="noConversion"/>
  </si>
  <si>
    <t>4/8</t>
    <phoneticPr fontId="2" type="noConversion"/>
  </si>
  <si>
    <t>0/8</t>
    <phoneticPr fontId="2" type="noConversion"/>
  </si>
  <si>
    <t>6/8</t>
    <phoneticPr fontId="2" type="noConversion"/>
  </si>
  <si>
    <t>12/21</t>
    <phoneticPr fontId="2" type="noConversion"/>
  </si>
  <si>
    <t>2/3</t>
    <phoneticPr fontId="2" type="noConversion"/>
  </si>
  <si>
    <t>11/12</t>
    <phoneticPr fontId="2" type="noConversion"/>
  </si>
  <si>
    <t>0/12</t>
    <phoneticPr fontId="2" type="noConversion"/>
  </si>
  <si>
    <t>4/6</t>
    <phoneticPr fontId="2" type="noConversion"/>
  </si>
  <si>
    <t>0/6</t>
    <phoneticPr fontId="2" type="noConversion"/>
  </si>
  <si>
    <t>0/22</t>
    <phoneticPr fontId="2" type="noConversion"/>
  </si>
  <si>
    <t>20/22</t>
    <phoneticPr fontId="2" type="noConversion"/>
  </si>
  <si>
    <t>1/3</t>
    <phoneticPr fontId="2" type="noConversion"/>
  </si>
  <si>
    <t>2/10</t>
    <phoneticPr fontId="2" type="noConversion"/>
  </si>
  <si>
    <t>1/10</t>
    <phoneticPr fontId="2" type="noConversion"/>
  </si>
  <si>
    <t>Stroma-specific staining in several cases,
but stained in both cells in most cases</t>
    <phoneticPr fontId="2" type="noConversion"/>
  </si>
  <si>
    <t>2/4</t>
    <phoneticPr fontId="2" type="noConversion"/>
  </si>
  <si>
    <t>0/4</t>
    <phoneticPr fontId="2" type="noConversion"/>
  </si>
  <si>
    <t>5/16</t>
    <phoneticPr fontId="2" type="noConversion"/>
  </si>
  <si>
    <t>2/16</t>
    <phoneticPr fontId="2" type="noConversion"/>
  </si>
  <si>
    <t>6/11</t>
    <phoneticPr fontId="2" type="noConversion"/>
  </si>
  <si>
    <t>8/12</t>
    <phoneticPr fontId="2" type="noConversion"/>
  </si>
  <si>
    <t>1/4</t>
    <phoneticPr fontId="2" type="noConversion"/>
  </si>
  <si>
    <t>1/7</t>
    <phoneticPr fontId="2" type="noConversion"/>
  </si>
  <si>
    <t>12/32</t>
    <phoneticPr fontId="2" type="noConversion"/>
  </si>
  <si>
    <t>no IHC images</t>
    <phoneticPr fontId="2" type="noConversion"/>
  </si>
  <si>
    <t>3/3</t>
    <phoneticPr fontId="2" type="noConversion"/>
  </si>
  <si>
    <t>4/11</t>
    <phoneticPr fontId="2" type="noConversion"/>
  </si>
  <si>
    <t>3/6</t>
    <phoneticPr fontId="2" type="noConversion"/>
  </si>
  <si>
    <t>12/22</t>
    <phoneticPr fontId="2" type="noConversion"/>
  </si>
  <si>
    <t>Epithelium-specific in some cases,
but stained in both cells or not stained in most cases</t>
    <phoneticPr fontId="2" type="noConversion"/>
  </si>
  <si>
    <t>0/2</t>
    <phoneticPr fontId="2" type="noConversion"/>
  </si>
  <si>
    <t>1/12</t>
    <phoneticPr fontId="2" type="noConversion"/>
  </si>
  <si>
    <t>1/9</t>
    <phoneticPr fontId="2" type="noConversion"/>
  </si>
  <si>
    <t>1/4</t>
    <phoneticPr fontId="2" type="noConversion"/>
  </si>
  <si>
    <t>0/4</t>
    <phoneticPr fontId="2" type="noConversion"/>
  </si>
  <si>
    <t>7/17</t>
    <phoneticPr fontId="2" type="noConversion"/>
  </si>
  <si>
    <t>0/17</t>
    <phoneticPr fontId="2" type="noConversion"/>
  </si>
  <si>
    <t>stained in nuclei of both cells in most cases</t>
    <phoneticPr fontId="2" type="noConversion"/>
  </si>
  <si>
    <t>2/11</t>
    <phoneticPr fontId="2" type="noConversion"/>
  </si>
  <si>
    <t>0/11</t>
    <phoneticPr fontId="2" type="noConversion"/>
  </si>
  <si>
    <t>4/12</t>
    <phoneticPr fontId="2" type="noConversion"/>
  </si>
  <si>
    <t>0/6</t>
    <phoneticPr fontId="2" type="noConversion"/>
  </si>
  <si>
    <t>4/18</t>
    <phoneticPr fontId="2" type="noConversion"/>
  </si>
  <si>
    <t>0/18</t>
    <phoneticPr fontId="2" type="noConversion"/>
  </si>
  <si>
    <t>2/3</t>
    <phoneticPr fontId="2" type="noConversion"/>
  </si>
  <si>
    <t>0/3</t>
    <phoneticPr fontId="2" type="noConversion"/>
  </si>
  <si>
    <t>10/12</t>
    <phoneticPr fontId="2" type="noConversion"/>
  </si>
  <si>
    <t>0/12</t>
    <phoneticPr fontId="2" type="noConversion"/>
  </si>
  <si>
    <t>no IHC images</t>
    <phoneticPr fontId="2" type="noConversion"/>
  </si>
  <si>
    <t>1/3</t>
    <phoneticPr fontId="2" type="noConversion"/>
  </si>
  <si>
    <t>1/2</t>
    <phoneticPr fontId="2" type="noConversion"/>
  </si>
  <si>
    <t>4/10</t>
    <phoneticPr fontId="2" type="noConversion"/>
  </si>
  <si>
    <t>3/10</t>
    <phoneticPr fontId="2" type="noConversion"/>
  </si>
  <si>
    <t>Stained in E in some cases,
Stained in S in others</t>
    <phoneticPr fontId="2" type="noConversion"/>
  </si>
  <si>
    <t>11/11</t>
    <phoneticPr fontId="2" type="noConversion"/>
  </si>
  <si>
    <t>1/10</t>
    <phoneticPr fontId="2" type="noConversion"/>
  </si>
  <si>
    <t>3/3</t>
    <phoneticPr fontId="2" type="noConversion"/>
  </si>
  <si>
    <t>3/12</t>
    <phoneticPr fontId="2" type="noConversion"/>
  </si>
  <si>
    <t>Epithelium or stroma-specific light staining in some cases,
but stained in both cells or not stained in most cases</t>
    <phoneticPr fontId="2" type="noConversion"/>
  </si>
  <si>
    <t>1/11</t>
    <phoneticPr fontId="2" type="noConversion"/>
  </si>
  <si>
    <t>4/9</t>
    <phoneticPr fontId="2" type="noConversion"/>
  </si>
  <si>
    <t>0/9</t>
    <phoneticPr fontId="2" type="noConversion"/>
  </si>
  <si>
    <t>6/25</t>
    <phoneticPr fontId="2" type="noConversion"/>
  </si>
  <si>
    <t>7/25</t>
    <phoneticPr fontId="2" type="noConversion"/>
  </si>
  <si>
    <t>Epithelium or stroma-specific staining in some cases,
but stained in both cells in most cases</t>
    <phoneticPr fontId="2" type="noConversion"/>
  </si>
  <si>
    <t>14/21</t>
    <phoneticPr fontId="2" type="noConversion"/>
  </si>
  <si>
    <t>0/21</t>
    <phoneticPr fontId="2" type="noConversion"/>
  </si>
  <si>
    <t>0/4</t>
    <phoneticPr fontId="2" type="noConversion"/>
  </si>
  <si>
    <t>13/30</t>
    <phoneticPr fontId="2" type="noConversion"/>
  </si>
  <si>
    <t>0/30</t>
    <phoneticPr fontId="2" type="noConversion"/>
  </si>
  <si>
    <t>2/2</t>
    <phoneticPr fontId="2" type="noConversion"/>
  </si>
  <si>
    <t>0/2</t>
    <phoneticPr fontId="2" type="noConversion"/>
  </si>
  <si>
    <t>9/11</t>
    <phoneticPr fontId="2" type="noConversion"/>
  </si>
  <si>
    <t>0/11</t>
    <phoneticPr fontId="2" type="noConversion"/>
  </si>
  <si>
    <t>3/4</t>
    <phoneticPr fontId="2" type="noConversion"/>
  </si>
  <si>
    <t>0/10</t>
    <phoneticPr fontId="2" type="noConversion"/>
  </si>
  <si>
    <t>9/10</t>
    <phoneticPr fontId="2" type="noConversion"/>
  </si>
  <si>
    <t>3/3</t>
    <phoneticPr fontId="2" type="noConversion"/>
  </si>
  <si>
    <t>0/3</t>
    <phoneticPr fontId="2" type="noConversion"/>
  </si>
  <si>
    <t>6/12</t>
    <phoneticPr fontId="2" type="noConversion"/>
  </si>
  <si>
    <t>0/12</t>
    <phoneticPr fontId="2" type="noConversion"/>
  </si>
  <si>
    <t>Epithelium-specific dark staining in half of the cases,
not stained in the other cases</t>
    <phoneticPr fontId="2" type="noConversion"/>
  </si>
  <si>
    <t>1/6</t>
    <phoneticPr fontId="2" type="noConversion"/>
  </si>
  <si>
    <t>3/21</t>
    <phoneticPr fontId="2" type="noConversion"/>
  </si>
  <si>
    <t>Epithelium or stroma-specific light staining in some cases,
but not stained in most cases</t>
    <phoneticPr fontId="2" type="noConversion"/>
  </si>
  <si>
    <t>no IHC images</t>
    <phoneticPr fontId="2" type="noConversion"/>
  </si>
  <si>
    <t>3/5</t>
    <phoneticPr fontId="2" type="noConversion"/>
  </si>
  <si>
    <t>0/5</t>
    <phoneticPr fontId="2" type="noConversion"/>
  </si>
  <si>
    <t>14/21</t>
    <phoneticPr fontId="2" type="noConversion"/>
  </si>
  <si>
    <t>1/21</t>
    <phoneticPr fontId="2" type="noConversion"/>
  </si>
  <si>
    <t>0/6</t>
    <phoneticPr fontId="2" type="noConversion"/>
  </si>
  <si>
    <t>3/6</t>
    <phoneticPr fontId="2" type="noConversion"/>
  </si>
  <si>
    <t>2/22</t>
    <phoneticPr fontId="2" type="noConversion"/>
  </si>
  <si>
    <t>4/22</t>
    <phoneticPr fontId="2" type="noConversion"/>
  </si>
  <si>
    <t>5/12</t>
    <phoneticPr fontId="2" type="noConversion"/>
  </si>
  <si>
    <t>4/6</t>
    <phoneticPr fontId="2" type="noConversion"/>
  </si>
  <si>
    <t>11/19</t>
    <phoneticPr fontId="2" type="noConversion"/>
  </si>
  <si>
    <t>0/19</t>
    <phoneticPr fontId="2" type="noConversion"/>
  </si>
  <si>
    <t>8/10</t>
    <phoneticPr fontId="2" type="noConversion"/>
  </si>
  <si>
    <t>Also stained in stroma in normal tissues</t>
    <phoneticPr fontId="2" type="noConversion"/>
  </si>
  <si>
    <t>0/1</t>
    <phoneticPr fontId="2" type="noConversion"/>
  </si>
  <si>
    <t>0/9</t>
    <phoneticPr fontId="2" type="noConversion"/>
  </si>
  <si>
    <t>5/6</t>
    <phoneticPr fontId="2" type="noConversion"/>
  </si>
  <si>
    <t>16/21</t>
    <phoneticPr fontId="2" type="noConversion"/>
  </si>
  <si>
    <t>0/21</t>
    <phoneticPr fontId="2" type="noConversion"/>
  </si>
  <si>
    <t>2/6</t>
    <phoneticPr fontId="2" type="noConversion"/>
  </si>
  <si>
    <t>14/23</t>
    <phoneticPr fontId="2" type="noConversion"/>
  </si>
  <si>
    <t>1/23</t>
    <phoneticPr fontId="2" type="noConversion"/>
  </si>
  <si>
    <t>2/3</t>
    <phoneticPr fontId="2" type="noConversion"/>
  </si>
  <si>
    <t>1/9</t>
    <phoneticPr fontId="2" type="noConversion"/>
  </si>
  <si>
    <t>9/32</t>
    <phoneticPr fontId="2" type="noConversion"/>
  </si>
  <si>
    <t>2/32</t>
    <phoneticPr fontId="2" type="noConversion"/>
  </si>
  <si>
    <t>3/6</t>
    <phoneticPr fontId="2" type="noConversion"/>
  </si>
  <si>
    <t>1/6</t>
    <phoneticPr fontId="2" type="noConversion"/>
  </si>
  <si>
    <t>5/33</t>
    <phoneticPr fontId="2" type="noConversion"/>
  </si>
  <si>
    <t>6/33</t>
    <phoneticPr fontId="2" type="noConversion"/>
  </si>
  <si>
    <t>2/3</t>
    <phoneticPr fontId="2" type="noConversion"/>
  </si>
  <si>
    <t>0/3</t>
    <phoneticPr fontId="2" type="noConversion"/>
  </si>
  <si>
    <t>4/11</t>
    <phoneticPr fontId="2" type="noConversion"/>
  </si>
  <si>
    <t>0/11</t>
    <phoneticPr fontId="2" type="noConversion"/>
  </si>
  <si>
    <t>1/3</t>
    <phoneticPr fontId="2" type="noConversion"/>
  </si>
  <si>
    <t>1/4</t>
    <phoneticPr fontId="2" type="noConversion"/>
  </si>
  <si>
    <t>0/4</t>
    <phoneticPr fontId="2" type="noConversion"/>
  </si>
  <si>
    <t>4/10</t>
    <phoneticPr fontId="2" type="noConversion"/>
  </si>
  <si>
    <t>0/10</t>
    <phoneticPr fontId="2" type="noConversion"/>
  </si>
  <si>
    <t>0/2</t>
    <phoneticPr fontId="2" type="noConversion"/>
  </si>
  <si>
    <t>2/10</t>
    <phoneticPr fontId="2" type="noConversion"/>
  </si>
  <si>
    <t>4/12</t>
    <phoneticPr fontId="2" type="noConversion"/>
  </si>
  <si>
    <t>0/12</t>
    <phoneticPr fontId="2" type="noConversion"/>
  </si>
  <si>
    <t>5/11</t>
    <phoneticPr fontId="2" type="noConversion"/>
  </si>
  <si>
    <t>10/11</t>
    <phoneticPr fontId="2" type="noConversion"/>
  </si>
  <si>
    <t>no IHC images</t>
    <phoneticPr fontId="2" type="noConversion"/>
  </si>
  <si>
    <t>1/2</t>
    <phoneticPr fontId="2" type="noConversion"/>
  </si>
  <si>
    <t>2/12</t>
    <phoneticPr fontId="2" type="noConversion"/>
  </si>
  <si>
    <t>1/12</t>
    <phoneticPr fontId="2" type="noConversion"/>
  </si>
  <si>
    <t>0/6</t>
    <phoneticPr fontId="2" type="noConversion"/>
  </si>
  <si>
    <t>7/33</t>
    <phoneticPr fontId="2" type="noConversion"/>
  </si>
  <si>
    <t>0/33</t>
    <phoneticPr fontId="2" type="noConversion"/>
  </si>
  <si>
    <t>1/8</t>
    <phoneticPr fontId="2" type="noConversion"/>
  </si>
  <si>
    <t>0/8</t>
    <phoneticPr fontId="2" type="noConversion"/>
  </si>
  <si>
    <t>11/32</t>
    <phoneticPr fontId="2" type="noConversion"/>
  </si>
  <si>
    <t>1/32</t>
    <phoneticPr fontId="2" type="noConversion"/>
  </si>
  <si>
    <t>4/4</t>
    <phoneticPr fontId="2" type="noConversion"/>
  </si>
  <si>
    <t>15/24</t>
    <phoneticPr fontId="2" type="noConversion"/>
  </si>
  <si>
    <t>0/24</t>
    <phoneticPr fontId="2" type="noConversion"/>
  </si>
  <si>
    <t>2/4</t>
    <phoneticPr fontId="2" type="noConversion"/>
  </si>
  <si>
    <t>3/17</t>
    <phoneticPr fontId="2" type="noConversion"/>
  </si>
  <si>
    <t>1/17</t>
    <phoneticPr fontId="2" type="noConversion"/>
  </si>
  <si>
    <t>Epithelium-specific staining in several cases,
but not stained in most cases</t>
    <phoneticPr fontId="2" type="noConversion"/>
  </si>
  <si>
    <t>0/5</t>
    <phoneticPr fontId="2" type="noConversion"/>
  </si>
  <si>
    <t>12/21</t>
    <phoneticPr fontId="2" type="noConversion"/>
  </si>
  <si>
    <t>0/21</t>
    <phoneticPr fontId="2" type="noConversion"/>
  </si>
  <si>
    <t>no IHC images</t>
    <phoneticPr fontId="2" type="noConversion"/>
  </si>
  <si>
    <t>0/4</t>
    <phoneticPr fontId="2" type="noConversion"/>
  </si>
  <si>
    <t>2/11</t>
    <phoneticPr fontId="2" type="noConversion"/>
  </si>
  <si>
    <t>0/11</t>
    <phoneticPr fontId="2" type="noConversion"/>
  </si>
  <si>
    <t>5/6</t>
    <phoneticPr fontId="2" type="noConversion"/>
  </si>
  <si>
    <t>0/6</t>
    <phoneticPr fontId="2" type="noConversion"/>
  </si>
  <si>
    <t>14/20</t>
    <phoneticPr fontId="2" type="noConversion"/>
  </si>
  <si>
    <t>0/20</t>
    <phoneticPr fontId="2" type="noConversion"/>
  </si>
  <si>
    <t>1/4</t>
    <phoneticPr fontId="2" type="noConversion"/>
  </si>
  <si>
    <t>3/12</t>
    <phoneticPr fontId="2" type="noConversion"/>
  </si>
  <si>
    <t>0/12</t>
    <phoneticPr fontId="2" type="noConversion"/>
  </si>
  <si>
    <t>1/3</t>
    <phoneticPr fontId="2" type="noConversion"/>
  </si>
  <si>
    <t>0/3</t>
    <phoneticPr fontId="2" type="noConversion"/>
  </si>
  <si>
    <t>7/11</t>
    <phoneticPr fontId="2" type="noConversion"/>
  </si>
  <si>
    <t>2/3</t>
    <phoneticPr fontId="2" type="noConversion"/>
  </si>
  <si>
    <t>10/11</t>
    <phoneticPr fontId="2" type="noConversion"/>
  </si>
  <si>
    <t>1/2</t>
    <phoneticPr fontId="2" type="noConversion"/>
  </si>
  <si>
    <t>0/2</t>
    <phoneticPr fontId="2" type="noConversion"/>
  </si>
  <si>
    <t>0/8</t>
    <phoneticPr fontId="2" type="noConversion"/>
  </si>
  <si>
    <t>2/2</t>
    <phoneticPr fontId="2" type="noConversion"/>
  </si>
  <si>
    <t>11/12</t>
    <phoneticPr fontId="2" type="noConversion"/>
  </si>
  <si>
    <t>4/10</t>
    <phoneticPr fontId="2" type="noConversion"/>
  </si>
  <si>
    <t>0/10</t>
    <phoneticPr fontId="2" type="noConversion"/>
  </si>
  <si>
    <t>9/12</t>
    <phoneticPr fontId="2" type="noConversion"/>
  </si>
  <si>
    <t>2/4</t>
    <phoneticPr fontId="2" type="noConversion"/>
  </si>
  <si>
    <t>7/10</t>
    <phoneticPr fontId="2" type="noConversion"/>
  </si>
  <si>
    <t>A litle Higher than
kidney and bladder</t>
  </si>
  <si>
    <t>GSDME</t>
  </si>
  <si>
    <t>Normal Prostate
Specific protein</t>
  </si>
  <si>
    <t>Normal Prostate
Specific RNA</t>
  </si>
  <si>
    <t>A litle Higher than
renal and bladder cancer</t>
  </si>
  <si>
    <t>Prostate cancer
specific RNA expression</t>
  </si>
  <si>
    <t>Prostate cancer
specific protein expression</t>
  </si>
  <si>
    <t>Some cases Higher than
renal and bladder cancer</t>
    <phoneticPr fontId="2" type="noConversion"/>
  </si>
  <si>
    <t>Summary</t>
    <phoneticPr fontId="2" type="noConversion"/>
  </si>
  <si>
    <t>INTS11</t>
  </si>
  <si>
    <t>NSD2</t>
  </si>
  <si>
    <t>summary</t>
  </si>
  <si>
    <t>ERP29</t>
  </si>
  <si>
    <t>B4GAT1</t>
  </si>
  <si>
    <t>ERICH5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</si>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</sst>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BBA1-EDF2-41BA-940F-4CF1D94BA81F}">
  <dimension ref="A1:C366"/>
  <sheetViews>
    <sheetView workbookViewId="0">
      <selection activeCell="C10" sqref="C10"/>
    </sheetView>
  </sheetViews>
  <sheetFormatPr defaultRowHeight="15"/>
  <sheetData>
    <row r="1" spans="1:3">
      <c r="A1" s="4" t="s">
        <v>14</v>
      </c>
      <c r="C1" s="4" t="s">
        <v>312</v>
      </c>
    </row>
    <row r="2" spans="1:3">
      <c r="A2" s="4" t="s">
        <v>26</v>
      </c>
      <c r="C2" s="4" t="s">
        <v>1106</v>
      </c>
    </row>
    <row r="3" spans="1:3">
      <c r="A3" s="4" t="s">
        <v>123</v>
      </c>
      <c r="C3" s="4" t="s">
        <v>14</v>
      </c>
    </row>
    <row r="4" spans="1:3">
      <c r="A4" s="4" t="s">
        <v>1106</v>
      </c>
      <c r="C4" s="4" t="s">
        <v>259</v>
      </c>
    </row>
    <row r="5" spans="1:3">
      <c r="A5" s="4" t="s">
        <v>1107</v>
      </c>
      <c r="C5" s="4" t="s">
        <v>1107</v>
      </c>
    </row>
    <row r="6" spans="1:3">
      <c r="A6" s="4" t="s">
        <v>204</v>
      </c>
      <c r="C6" s="4" t="s">
        <v>26</v>
      </c>
    </row>
    <row r="7" spans="1:3">
      <c r="A7" s="4" t="s">
        <v>259</v>
      </c>
      <c r="C7" s="4" t="s">
        <v>123</v>
      </c>
    </row>
    <row r="8" spans="1:3">
      <c r="A8" s="4" t="s">
        <v>265</v>
      </c>
      <c r="C8" s="4" t="s">
        <v>204</v>
      </c>
    </row>
    <row r="9" spans="1:3">
      <c r="A9" s="4" t="s">
        <v>279</v>
      </c>
      <c r="C9" s="4" t="s">
        <v>279</v>
      </c>
    </row>
    <row r="10" spans="1:3">
      <c r="A10" s="4" t="s">
        <v>90</v>
      </c>
      <c r="C10" s="4" t="s">
        <v>265</v>
      </c>
    </row>
    <row r="11" spans="1:3">
      <c r="A11" s="4" t="s">
        <v>312</v>
      </c>
      <c r="C11" t="s">
        <v>2</v>
      </c>
    </row>
    <row r="12" spans="1:3">
      <c r="A12" s="4" t="s">
        <v>91</v>
      </c>
      <c r="C12" t="s">
        <v>120</v>
      </c>
    </row>
    <row r="13" spans="1:3">
      <c r="A13" s="4" t="s">
        <v>92</v>
      </c>
      <c r="C13" t="s">
        <v>3</v>
      </c>
    </row>
    <row r="14" spans="1:3">
      <c r="A14" s="4" t="s">
        <v>93</v>
      </c>
      <c r="C14" t="s">
        <v>121</v>
      </c>
    </row>
    <row r="15" spans="1:3">
      <c r="A15" s="4" t="s">
        <v>94</v>
      </c>
      <c r="C15" t="s">
        <v>4</v>
      </c>
    </row>
    <row r="16" spans="1:3">
      <c r="A16" s="4" t="s">
        <v>95</v>
      </c>
      <c r="C16" t="s">
        <v>122</v>
      </c>
    </row>
    <row r="17" spans="1:3">
      <c r="A17" s="4" t="s">
        <v>96</v>
      </c>
      <c r="C17" t="s">
        <v>90</v>
      </c>
    </row>
    <row r="18" spans="1:3">
      <c r="A18" s="4" t="s">
        <v>31</v>
      </c>
      <c r="C18" t="s">
        <v>124</v>
      </c>
    </row>
    <row r="19" spans="1:3">
      <c r="A19" s="4" t="s">
        <v>384</v>
      </c>
      <c r="C19" t="s">
        <v>125</v>
      </c>
    </row>
    <row r="20" spans="1:3">
      <c r="A20" s="4" t="s">
        <v>97</v>
      </c>
      <c r="C20" t="s">
        <v>126</v>
      </c>
    </row>
    <row r="21" spans="1:3">
      <c r="A21" s="4" t="s">
        <v>98</v>
      </c>
      <c r="C21" t="s">
        <v>5</v>
      </c>
    </row>
    <row r="22" spans="1:3">
      <c r="A22" s="4" t="s">
        <v>99</v>
      </c>
      <c r="C22" t="s">
        <v>6</v>
      </c>
    </row>
    <row r="23" spans="1:3">
      <c r="A23" s="4" t="s">
        <v>100</v>
      </c>
      <c r="C23" t="s">
        <v>127</v>
      </c>
    </row>
    <row r="24" spans="1:3">
      <c r="A24" s="4" t="s">
        <v>101</v>
      </c>
      <c r="C24" t="s">
        <v>91</v>
      </c>
    </row>
    <row r="25" spans="1:3">
      <c r="A25" s="4" t="s">
        <v>102</v>
      </c>
      <c r="C25" t="s">
        <v>128</v>
      </c>
    </row>
    <row r="26" spans="1:3">
      <c r="A26" s="4" t="s">
        <v>103</v>
      </c>
      <c r="C26" t="s">
        <v>129</v>
      </c>
    </row>
    <row r="27" spans="1:3">
      <c r="A27" s="9" t="s">
        <v>104</v>
      </c>
      <c r="C27" t="s">
        <v>130</v>
      </c>
    </row>
    <row r="28" spans="1:3">
      <c r="A28" s="4" t="s">
        <v>105</v>
      </c>
      <c r="C28" t="s">
        <v>131</v>
      </c>
    </row>
    <row r="29" spans="1:3">
      <c r="A29" s="4" t="s">
        <v>106</v>
      </c>
      <c r="C29" t="s">
        <v>132</v>
      </c>
    </row>
    <row r="30" spans="1:3">
      <c r="A30" s="4" t="s">
        <v>107</v>
      </c>
      <c r="C30" t="s">
        <v>7</v>
      </c>
    </row>
    <row r="31" spans="1:3">
      <c r="A31" s="4" t="s">
        <v>108</v>
      </c>
      <c r="C31" t="s">
        <v>133</v>
      </c>
    </row>
    <row r="32" spans="1:3">
      <c r="A32" s="4" t="s">
        <v>109</v>
      </c>
      <c r="C32" t="s">
        <v>134</v>
      </c>
    </row>
    <row r="33" spans="1:3">
      <c r="A33" s="4" t="s">
        <v>110</v>
      </c>
      <c r="C33" t="s">
        <v>135</v>
      </c>
    </row>
    <row r="34" spans="1:3">
      <c r="A34" s="4" t="s">
        <v>64</v>
      </c>
      <c r="C34" t="s">
        <v>136</v>
      </c>
    </row>
    <row r="35" spans="1:3">
      <c r="A35" s="4" t="s">
        <v>111</v>
      </c>
      <c r="C35" t="s">
        <v>137</v>
      </c>
    </row>
    <row r="36" spans="1:3">
      <c r="A36" s="4" t="s">
        <v>112</v>
      </c>
      <c r="C36" t="s">
        <v>92</v>
      </c>
    </row>
    <row r="37" spans="1:3">
      <c r="A37" s="4" t="s">
        <v>113</v>
      </c>
      <c r="C37" t="s">
        <v>139</v>
      </c>
    </row>
    <row r="38" spans="1:3">
      <c r="A38" s="4" t="s">
        <v>114</v>
      </c>
      <c r="C38" t="s">
        <v>8</v>
      </c>
    </row>
    <row r="39" spans="1:3">
      <c r="A39" s="4" t="s">
        <v>115</v>
      </c>
      <c r="C39" t="s">
        <v>9</v>
      </c>
    </row>
    <row r="40" spans="1:3">
      <c r="A40" s="4" t="s">
        <v>116</v>
      </c>
      <c r="C40" t="s">
        <v>10</v>
      </c>
    </row>
    <row r="41" spans="1:3">
      <c r="A41" s="4" t="s">
        <v>117</v>
      </c>
      <c r="C41" t="s">
        <v>140</v>
      </c>
    </row>
    <row r="42" spans="1:3">
      <c r="A42" s="4" t="s">
        <v>118</v>
      </c>
      <c r="C42" t="s">
        <v>141</v>
      </c>
    </row>
    <row r="43" spans="1:3">
      <c r="A43" s="4" t="s">
        <v>119</v>
      </c>
      <c r="C43" t="s">
        <v>142</v>
      </c>
    </row>
    <row r="44" spans="1:3">
      <c r="A44" s="4" t="s">
        <v>2</v>
      </c>
      <c r="C44" t="s">
        <v>143</v>
      </c>
    </row>
    <row r="45" spans="1:3">
      <c r="A45" s="4" t="s">
        <v>3</v>
      </c>
      <c r="C45" t="s">
        <v>11</v>
      </c>
    </row>
    <row r="46" spans="1:3">
      <c r="A46" s="4" t="s">
        <v>4</v>
      </c>
      <c r="C46" t="s">
        <v>144</v>
      </c>
    </row>
    <row r="47" spans="1:3">
      <c r="A47" s="4" t="s">
        <v>5</v>
      </c>
      <c r="C47" t="s">
        <v>145</v>
      </c>
    </row>
    <row r="48" spans="1:3">
      <c r="A48" s="4" t="s">
        <v>6</v>
      </c>
      <c r="C48" t="s">
        <v>146</v>
      </c>
    </row>
    <row r="49" spans="1:3">
      <c r="A49" s="4" t="s">
        <v>7</v>
      </c>
      <c r="C49" t="s">
        <v>12</v>
      </c>
    </row>
    <row r="50" spans="1:3">
      <c r="A50" s="4" t="s">
        <v>8</v>
      </c>
      <c r="C50" t="s">
        <v>147</v>
      </c>
    </row>
    <row r="51" spans="1:3">
      <c r="A51" s="4" t="s">
        <v>9</v>
      </c>
      <c r="C51" t="s">
        <v>148</v>
      </c>
    </row>
    <row r="52" spans="1:3">
      <c r="A52" s="4" t="s">
        <v>10</v>
      </c>
      <c r="C52" t="s">
        <v>149</v>
      </c>
    </row>
    <row r="53" spans="1:3">
      <c r="A53" s="4" t="s">
        <v>11</v>
      </c>
      <c r="C53" t="s">
        <v>150</v>
      </c>
    </row>
    <row r="54" spans="1:3">
      <c r="A54" s="4" t="s">
        <v>12</v>
      </c>
      <c r="C54" t="s">
        <v>151</v>
      </c>
    </row>
    <row r="55" spans="1:3">
      <c r="A55" s="4" t="s">
        <v>13</v>
      </c>
      <c r="C55" t="s">
        <v>152</v>
      </c>
    </row>
    <row r="56" spans="1:3">
      <c r="A56" s="4" t="s">
        <v>15</v>
      </c>
      <c r="C56" t="s">
        <v>13</v>
      </c>
    </row>
    <row r="57" spans="1:3">
      <c r="A57" s="4" t="s">
        <v>16</v>
      </c>
      <c r="C57" t="s">
        <v>153</v>
      </c>
    </row>
    <row r="58" spans="1:3">
      <c r="A58" s="4" t="s">
        <v>17</v>
      </c>
      <c r="C58" t="s">
        <v>154</v>
      </c>
    </row>
    <row r="59" spans="1:3">
      <c r="A59" s="4" t="s">
        <v>18</v>
      </c>
      <c r="C59" t="s">
        <v>155</v>
      </c>
    </row>
    <row r="60" spans="1:3">
      <c r="A60" s="4" t="s">
        <v>19</v>
      </c>
      <c r="C60" t="s">
        <v>156</v>
      </c>
    </row>
    <row r="61" spans="1:3">
      <c r="A61" s="4" t="s">
        <v>20</v>
      </c>
      <c r="C61" t="s">
        <v>157</v>
      </c>
    </row>
    <row r="62" spans="1:3">
      <c r="A62" s="4" t="s">
        <v>21</v>
      </c>
      <c r="C62" t="s">
        <v>158</v>
      </c>
    </row>
    <row r="63" spans="1:3">
      <c r="A63" s="4" t="s">
        <v>22</v>
      </c>
      <c r="C63" t="s">
        <v>159</v>
      </c>
    </row>
    <row r="64" spans="1:3">
      <c r="A64" s="4" t="s">
        <v>23</v>
      </c>
      <c r="C64" t="s">
        <v>93</v>
      </c>
    </row>
    <row r="65" spans="1:3">
      <c r="A65" s="4" t="s">
        <v>24</v>
      </c>
      <c r="C65" t="s">
        <v>15</v>
      </c>
    </row>
    <row r="66" spans="1:3">
      <c r="A66" s="4" t="s">
        <v>25</v>
      </c>
      <c r="C66" t="s">
        <v>160</v>
      </c>
    </row>
    <row r="67" spans="1:3">
      <c r="A67" s="4" t="s">
        <v>27</v>
      </c>
      <c r="C67" t="s">
        <v>161</v>
      </c>
    </row>
    <row r="68" spans="1:3">
      <c r="A68" s="4" t="s">
        <v>28</v>
      </c>
      <c r="C68" t="s">
        <v>16</v>
      </c>
    </row>
    <row r="69" spans="1:3">
      <c r="A69" s="4" t="s">
        <v>29</v>
      </c>
      <c r="C69" t="s">
        <v>162</v>
      </c>
    </row>
    <row r="70" spans="1:3">
      <c r="A70" s="4" t="s">
        <v>30</v>
      </c>
      <c r="C70" t="s">
        <v>163</v>
      </c>
    </row>
    <row r="71" spans="1:3">
      <c r="A71" s="4" t="s">
        <v>32</v>
      </c>
      <c r="C71" t="s">
        <v>17</v>
      </c>
    </row>
    <row r="72" spans="1:3">
      <c r="A72" s="4" t="s">
        <v>33</v>
      </c>
      <c r="C72" t="s">
        <v>164</v>
      </c>
    </row>
    <row r="73" spans="1:3">
      <c r="A73" s="4" t="s">
        <v>34</v>
      </c>
      <c r="C73" t="s">
        <v>165</v>
      </c>
    </row>
    <row r="74" spans="1:3">
      <c r="A74" s="4" t="s">
        <v>35</v>
      </c>
      <c r="C74" t="s">
        <v>166</v>
      </c>
    </row>
    <row r="75" spans="1:3">
      <c r="A75" s="4" t="s">
        <v>36</v>
      </c>
      <c r="C75" t="s">
        <v>167</v>
      </c>
    </row>
    <row r="76" spans="1:3">
      <c r="A76" s="4" t="s">
        <v>37</v>
      </c>
      <c r="C76" t="s">
        <v>168</v>
      </c>
    </row>
    <row r="77" spans="1:3">
      <c r="A77" s="4" t="s">
        <v>38</v>
      </c>
      <c r="C77" t="s">
        <v>169</v>
      </c>
    </row>
    <row r="78" spans="1:3">
      <c r="A78" s="4" t="s">
        <v>39</v>
      </c>
      <c r="C78" t="s">
        <v>170</v>
      </c>
    </row>
    <row r="79" spans="1:3">
      <c r="A79" s="4" t="s">
        <v>40</v>
      </c>
      <c r="C79" t="s">
        <v>18</v>
      </c>
    </row>
    <row r="80" spans="1:3">
      <c r="A80" s="4" t="s">
        <v>41</v>
      </c>
      <c r="C80" t="s">
        <v>171</v>
      </c>
    </row>
    <row r="81" spans="1:3">
      <c r="A81" s="4" t="s">
        <v>42</v>
      </c>
      <c r="C81" t="s">
        <v>19</v>
      </c>
    </row>
    <row r="82" spans="1:3">
      <c r="A82" s="4" t="s">
        <v>43</v>
      </c>
      <c r="C82" t="s">
        <v>20</v>
      </c>
    </row>
    <row r="83" spans="1:3">
      <c r="A83" s="4" t="s">
        <v>44</v>
      </c>
      <c r="C83" t="s">
        <v>172</v>
      </c>
    </row>
    <row r="84" spans="1:3">
      <c r="A84" s="4" t="s">
        <v>45</v>
      </c>
      <c r="C84" t="s">
        <v>21</v>
      </c>
    </row>
    <row r="85" spans="1:3">
      <c r="A85" s="4" t="s">
        <v>46</v>
      </c>
      <c r="C85" t="s">
        <v>22</v>
      </c>
    </row>
    <row r="86" spans="1:3">
      <c r="A86" s="4" t="s">
        <v>47</v>
      </c>
      <c r="C86" t="s">
        <v>173</v>
      </c>
    </row>
    <row r="87" spans="1:3">
      <c r="A87" s="4" t="s">
        <v>48</v>
      </c>
      <c r="C87" t="s">
        <v>23</v>
      </c>
    </row>
    <row r="88" spans="1:3">
      <c r="A88" s="4" t="s">
        <v>49</v>
      </c>
      <c r="C88" t="s">
        <v>24</v>
      </c>
    </row>
    <row r="89" spans="1:3">
      <c r="A89" s="4" t="s">
        <v>50</v>
      </c>
      <c r="C89" t="s">
        <v>25</v>
      </c>
    </row>
    <row r="90" spans="1:3">
      <c r="A90" s="4" t="s">
        <v>51</v>
      </c>
      <c r="C90" t="s">
        <v>94</v>
      </c>
    </row>
    <row r="91" spans="1:3">
      <c r="A91" s="4" t="s">
        <v>52</v>
      </c>
      <c r="C91" t="s">
        <v>174</v>
      </c>
    </row>
    <row r="92" spans="1:3">
      <c r="A92" s="4" t="s">
        <v>53</v>
      </c>
      <c r="C92" t="s">
        <v>95</v>
      </c>
    </row>
    <row r="93" spans="1:3">
      <c r="A93" s="4" t="s">
        <v>54</v>
      </c>
      <c r="C93" t="s">
        <v>175</v>
      </c>
    </row>
    <row r="94" spans="1:3">
      <c r="A94" s="4" t="s">
        <v>55</v>
      </c>
      <c r="C94" t="s">
        <v>27</v>
      </c>
    </row>
    <row r="95" spans="1:3">
      <c r="A95" s="4" t="s">
        <v>56</v>
      </c>
      <c r="C95" t="s">
        <v>176</v>
      </c>
    </row>
    <row r="96" spans="1:3">
      <c r="A96" s="4" t="s">
        <v>57</v>
      </c>
      <c r="C96" t="s">
        <v>177</v>
      </c>
    </row>
    <row r="97" spans="1:3">
      <c r="A97" s="4" t="s">
        <v>58</v>
      </c>
      <c r="C97" t="s">
        <v>178</v>
      </c>
    </row>
    <row r="98" spans="1:3">
      <c r="A98" s="4" t="s">
        <v>59</v>
      </c>
      <c r="C98" t="s">
        <v>179</v>
      </c>
    </row>
    <row r="99" spans="1:3">
      <c r="A99" s="4" t="s">
        <v>60</v>
      </c>
      <c r="C99" t="s">
        <v>180</v>
      </c>
    </row>
    <row r="100" spans="1:3">
      <c r="A100" s="4" t="s">
        <v>61</v>
      </c>
      <c r="C100" t="s">
        <v>181</v>
      </c>
    </row>
    <row r="101" spans="1:3">
      <c r="A101" s="4" t="s">
        <v>62</v>
      </c>
      <c r="C101" t="s">
        <v>28</v>
      </c>
    </row>
    <row r="102" spans="1:3">
      <c r="A102" s="4" t="s">
        <v>63</v>
      </c>
      <c r="C102" t="s">
        <v>182</v>
      </c>
    </row>
    <row r="103" spans="1:3">
      <c r="A103" s="4" t="s">
        <v>65</v>
      </c>
      <c r="C103" t="s">
        <v>183</v>
      </c>
    </row>
    <row r="104" spans="1:3">
      <c r="A104" s="4" t="s">
        <v>66</v>
      </c>
      <c r="C104" t="s">
        <v>184</v>
      </c>
    </row>
    <row r="105" spans="1:3">
      <c r="A105" s="4" t="s">
        <v>67</v>
      </c>
      <c r="C105" t="s">
        <v>185</v>
      </c>
    </row>
    <row r="106" spans="1:3">
      <c r="A106" s="4" t="s">
        <v>68</v>
      </c>
      <c r="C106" t="s">
        <v>186</v>
      </c>
    </row>
    <row r="107" spans="1:3">
      <c r="A107" s="4" t="s">
        <v>69</v>
      </c>
      <c r="C107" t="s">
        <v>187</v>
      </c>
    </row>
    <row r="108" spans="1:3">
      <c r="A108" s="4" t="s">
        <v>70</v>
      </c>
      <c r="C108" t="s">
        <v>188</v>
      </c>
    </row>
    <row r="109" spans="1:3">
      <c r="A109" s="4" t="s">
        <v>71</v>
      </c>
      <c r="C109" t="s">
        <v>189</v>
      </c>
    </row>
    <row r="110" spans="1:3">
      <c r="A110" s="4" t="s">
        <v>72</v>
      </c>
      <c r="C110" t="s">
        <v>190</v>
      </c>
    </row>
    <row r="111" spans="1:3">
      <c r="A111" s="4" t="s">
        <v>73</v>
      </c>
      <c r="C111" t="s">
        <v>191</v>
      </c>
    </row>
    <row r="112" spans="1:3">
      <c r="A112" s="4" t="s">
        <v>74</v>
      </c>
      <c r="C112" t="s">
        <v>29</v>
      </c>
    </row>
    <row r="113" spans="1:3">
      <c r="A113" s="4" t="s">
        <v>75</v>
      </c>
      <c r="C113" t="s">
        <v>192</v>
      </c>
    </row>
    <row r="114" spans="1:3">
      <c r="A114" s="4" t="s">
        <v>76</v>
      </c>
      <c r="C114" t="s">
        <v>193</v>
      </c>
    </row>
    <row r="115" spans="1:3">
      <c r="A115" s="4" t="s">
        <v>77</v>
      </c>
      <c r="C115" t="s">
        <v>96</v>
      </c>
    </row>
    <row r="116" spans="1:3">
      <c r="A116" s="4" t="s">
        <v>78</v>
      </c>
      <c r="C116" t="s">
        <v>194</v>
      </c>
    </row>
    <row r="117" spans="1:3">
      <c r="A117" s="4" t="s">
        <v>79</v>
      </c>
      <c r="C117" t="s">
        <v>195</v>
      </c>
    </row>
    <row r="118" spans="1:3">
      <c r="A118" s="4" t="s">
        <v>80</v>
      </c>
      <c r="C118" t="s">
        <v>196</v>
      </c>
    </row>
    <row r="119" spans="1:3">
      <c r="A119" s="4" t="s">
        <v>81</v>
      </c>
      <c r="C119" t="s">
        <v>30</v>
      </c>
    </row>
    <row r="120" spans="1:3">
      <c r="A120" s="4" t="s">
        <v>82</v>
      </c>
      <c r="C120" t="s">
        <v>197</v>
      </c>
    </row>
    <row r="121" spans="1:3">
      <c r="A121" s="4" t="s">
        <v>83</v>
      </c>
      <c r="C121" t="s">
        <v>198</v>
      </c>
    </row>
    <row r="122" spans="1:3">
      <c r="A122" s="4" t="s">
        <v>84</v>
      </c>
      <c r="C122" t="s">
        <v>31</v>
      </c>
    </row>
    <row r="123" spans="1:3">
      <c r="A123" s="4" t="s">
        <v>85</v>
      </c>
      <c r="C123" t="s">
        <v>1105</v>
      </c>
    </row>
    <row r="124" spans="1:3">
      <c r="A124" s="4" t="s">
        <v>86</v>
      </c>
      <c r="C124" t="s">
        <v>200</v>
      </c>
    </row>
    <row r="125" spans="1:3">
      <c r="A125" s="4" t="s">
        <v>87</v>
      </c>
      <c r="C125" t="s">
        <v>201</v>
      </c>
    </row>
    <row r="126" spans="1:3">
      <c r="A126" s="4" t="s">
        <v>88</v>
      </c>
      <c r="C126" t="s">
        <v>202</v>
      </c>
    </row>
    <row r="127" spans="1:3">
      <c r="A127" s="4" t="s">
        <v>89</v>
      </c>
      <c r="C127" t="s">
        <v>97</v>
      </c>
    </row>
    <row r="128" spans="1:3">
      <c r="A128" s="4" t="s">
        <v>120</v>
      </c>
      <c r="C128" t="s">
        <v>32</v>
      </c>
    </row>
    <row r="129" spans="1:3">
      <c r="A129" s="4" t="s">
        <v>121</v>
      </c>
      <c r="C129" t="s">
        <v>203</v>
      </c>
    </row>
    <row r="130" spans="1:3">
      <c r="A130" s="4" t="s">
        <v>122</v>
      </c>
      <c r="C130" t="s">
        <v>33</v>
      </c>
    </row>
    <row r="131" spans="1:3">
      <c r="A131" s="4" t="s">
        <v>124</v>
      </c>
      <c r="C131" t="s">
        <v>205</v>
      </c>
    </row>
    <row r="132" spans="1:3">
      <c r="A132" s="4" t="s">
        <v>125</v>
      </c>
      <c r="C132" t="s">
        <v>206</v>
      </c>
    </row>
    <row r="133" spans="1:3">
      <c r="A133" s="4" t="s">
        <v>126</v>
      </c>
      <c r="C133" t="s">
        <v>34</v>
      </c>
    </row>
    <row r="134" spans="1:3">
      <c r="A134" s="4" t="s">
        <v>127</v>
      </c>
      <c r="C134" t="s">
        <v>35</v>
      </c>
    </row>
    <row r="135" spans="1:3">
      <c r="A135" s="4" t="s">
        <v>128</v>
      </c>
      <c r="C135" t="s">
        <v>207</v>
      </c>
    </row>
    <row r="136" spans="1:3">
      <c r="A136" s="4" t="s">
        <v>129</v>
      </c>
      <c r="C136" t="s">
        <v>36</v>
      </c>
    </row>
    <row r="137" spans="1:3">
      <c r="A137" s="4" t="s">
        <v>130</v>
      </c>
      <c r="C137" t="s">
        <v>208</v>
      </c>
    </row>
    <row r="138" spans="1:3">
      <c r="A138" s="4" t="s">
        <v>131</v>
      </c>
      <c r="C138" t="s">
        <v>209</v>
      </c>
    </row>
    <row r="139" spans="1:3">
      <c r="A139" s="4" t="s">
        <v>132</v>
      </c>
      <c r="C139" t="s">
        <v>37</v>
      </c>
    </row>
    <row r="140" spans="1:3">
      <c r="A140" s="4" t="s">
        <v>133</v>
      </c>
      <c r="C140" t="s">
        <v>38</v>
      </c>
    </row>
    <row r="141" spans="1:3">
      <c r="A141" s="4" t="s">
        <v>134</v>
      </c>
      <c r="C141" t="s">
        <v>210</v>
      </c>
    </row>
    <row r="142" spans="1:3">
      <c r="A142" s="4" t="s">
        <v>135</v>
      </c>
      <c r="C142" t="s">
        <v>39</v>
      </c>
    </row>
    <row r="143" spans="1:3">
      <c r="A143" s="4" t="s">
        <v>136</v>
      </c>
      <c r="C143" t="s">
        <v>211</v>
      </c>
    </row>
    <row r="144" spans="1:3">
      <c r="A144" s="4" t="s">
        <v>137</v>
      </c>
      <c r="C144" t="s">
        <v>212</v>
      </c>
    </row>
    <row r="145" spans="1:3">
      <c r="A145" s="4" t="s">
        <v>139</v>
      </c>
      <c r="C145" t="s">
        <v>98</v>
      </c>
    </row>
    <row r="146" spans="1:3">
      <c r="A146" s="4" t="s">
        <v>140</v>
      </c>
      <c r="C146" t="s">
        <v>213</v>
      </c>
    </row>
    <row r="147" spans="1:3">
      <c r="A147" s="4" t="s">
        <v>141</v>
      </c>
      <c r="C147" t="s">
        <v>214</v>
      </c>
    </row>
    <row r="148" spans="1:3">
      <c r="A148" s="4" t="s">
        <v>142</v>
      </c>
      <c r="C148" t="s">
        <v>215</v>
      </c>
    </row>
    <row r="149" spans="1:3">
      <c r="A149" s="4" t="s">
        <v>143</v>
      </c>
      <c r="C149" t="s">
        <v>216</v>
      </c>
    </row>
    <row r="150" spans="1:3">
      <c r="A150" s="4" t="s">
        <v>144</v>
      </c>
      <c r="C150" t="s">
        <v>40</v>
      </c>
    </row>
    <row r="151" spans="1:3">
      <c r="A151" s="4" t="s">
        <v>145</v>
      </c>
      <c r="C151" t="s">
        <v>217</v>
      </c>
    </row>
    <row r="152" spans="1:3">
      <c r="A152" s="4" t="s">
        <v>146</v>
      </c>
      <c r="C152" t="s">
        <v>218</v>
      </c>
    </row>
    <row r="153" spans="1:3">
      <c r="A153" s="4" t="s">
        <v>147</v>
      </c>
      <c r="C153" t="s">
        <v>219</v>
      </c>
    </row>
    <row r="154" spans="1:3">
      <c r="A154" s="4" t="s">
        <v>148</v>
      </c>
      <c r="C154" t="s">
        <v>220</v>
      </c>
    </row>
    <row r="155" spans="1:3">
      <c r="A155" s="4" t="s">
        <v>149</v>
      </c>
      <c r="C155" t="s">
        <v>221</v>
      </c>
    </row>
    <row r="156" spans="1:3">
      <c r="A156" s="4" t="s">
        <v>150</v>
      </c>
      <c r="C156" t="s">
        <v>41</v>
      </c>
    </row>
    <row r="157" spans="1:3">
      <c r="A157" s="4" t="s">
        <v>151</v>
      </c>
      <c r="C157" t="s">
        <v>222</v>
      </c>
    </row>
    <row r="158" spans="1:3">
      <c r="A158" s="4" t="s">
        <v>152</v>
      </c>
      <c r="C158" t="s">
        <v>223</v>
      </c>
    </row>
    <row r="159" spans="1:3">
      <c r="A159" s="4" t="s">
        <v>153</v>
      </c>
      <c r="C159" t="s">
        <v>224</v>
      </c>
    </row>
    <row r="160" spans="1:3">
      <c r="A160" s="4" t="s">
        <v>154</v>
      </c>
      <c r="C160" t="s">
        <v>42</v>
      </c>
    </row>
    <row r="161" spans="1:3">
      <c r="A161" s="4" t="s">
        <v>155</v>
      </c>
      <c r="C161" t="s">
        <v>225</v>
      </c>
    </row>
    <row r="162" spans="1:3">
      <c r="A162" s="4" t="s">
        <v>156</v>
      </c>
      <c r="C162" t="s">
        <v>226</v>
      </c>
    </row>
    <row r="163" spans="1:3">
      <c r="A163" s="4" t="s">
        <v>157</v>
      </c>
      <c r="C163" t="s">
        <v>227</v>
      </c>
    </row>
    <row r="164" spans="1:3">
      <c r="A164" s="4" t="s">
        <v>158</v>
      </c>
      <c r="C164" t="s">
        <v>228</v>
      </c>
    </row>
    <row r="165" spans="1:3">
      <c r="A165" s="4" t="s">
        <v>159</v>
      </c>
      <c r="C165" t="s">
        <v>229</v>
      </c>
    </row>
    <row r="166" spans="1:3">
      <c r="A166" s="4" t="s">
        <v>160</v>
      </c>
      <c r="C166" t="s">
        <v>43</v>
      </c>
    </row>
    <row r="167" spans="1:3">
      <c r="A167" s="4" t="s">
        <v>161</v>
      </c>
      <c r="C167" t="s">
        <v>230</v>
      </c>
    </row>
    <row r="168" spans="1:3">
      <c r="A168" s="4" t="s">
        <v>162</v>
      </c>
      <c r="C168" t="s">
        <v>231</v>
      </c>
    </row>
    <row r="169" spans="1:3">
      <c r="A169" s="4" t="s">
        <v>163</v>
      </c>
      <c r="C169" t="s">
        <v>44</v>
      </c>
    </row>
    <row r="170" spans="1:3">
      <c r="A170" s="4" t="s">
        <v>164</v>
      </c>
      <c r="C170" t="s">
        <v>45</v>
      </c>
    </row>
    <row r="171" spans="1:3">
      <c r="A171" s="4" t="s">
        <v>165</v>
      </c>
      <c r="C171" t="s">
        <v>232</v>
      </c>
    </row>
    <row r="172" spans="1:3">
      <c r="A172" s="4" t="s">
        <v>166</v>
      </c>
      <c r="C172" t="s">
        <v>233</v>
      </c>
    </row>
    <row r="173" spans="1:3">
      <c r="A173" s="4" t="s">
        <v>167</v>
      </c>
      <c r="C173" t="s">
        <v>46</v>
      </c>
    </row>
    <row r="174" spans="1:3">
      <c r="A174" s="4" t="s">
        <v>168</v>
      </c>
      <c r="C174" t="s">
        <v>47</v>
      </c>
    </row>
    <row r="175" spans="1:3">
      <c r="A175" s="4" t="s">
        <v>169</v>
      </c>
      <c r="C175" t="s">
        <v>48</v>
      </c>
    </row>
    <row r="176" spans="1:3">
      <c r="A176" s="4" t="s">
        <v>170</v>
      </c>
      <c r="C176" t="s">
        <v>234</v>
      </c>
    </row>
    <row r="177" spans="1:3">
      <c r="A177" s="4" t="s">
        <v>171</v>
      </c>
      <c r="C177" t="s">
        <v>49</v>
      </c>
    </row>
    <row r="178" spans="1:3">
      <c r="A178" s="4" t="s">
        <v>172</v>
      </c>
      <c r="C178" t="s">
        <v>50</v>
      </c>
    </row>
    <row r="179" spans="1:3">
      <c r="A179" s="4" t="s">
        <v>173</v>
      </c>
      <c r="C179" t="s">
        <v>51</v>
      </c>
    </row>
    <row r="180" spans="1:3">
      <c r="A180" s="4" t="s">
        <v>174</v>
      </c>
      <c r="C180" t="s">
        <v>52</v>
      </c>
    </row>
    <row r="181" spans="1:3">
      <c r="A181" s="4" t="s">
        <v>175</v>
      </c>
      <c r="C181" t="s">
        <v>235</v>
      </c>
    </row>
    <row r="182" spans="1:3">
      <c r="A182" s="4" t="s">
        <v>176</v>
      </c>
      <c r="C182" t="s">
        <v>236</v>
      </c>
    </row>
    <row r="183" spans="1:3">
      <c r="A183" s="4" t="s">
        <v>177</v>
      </c>
      <c r="C183" t="s">
        <v>237</v>
      </c>
    </row>
    <row r="184" spans="1:3">
      <c r="A184" s="4" t="s">
        <v>178</v>
      </c>
      <c r="C184" t="s">
        <v>53</v>
      </c>
    </row>
    <row r="185" spans="1:3">
      <c r="A185" s="4" t="s">
        <v>179</v>
      </c>
      <c r="C185" t="s">
        <v>54</v>
      </c>
    </row>
    <row r="186" spans="1:3">
      <c r="A186" s="4" t="s">
        <v>180</v>
      </c>
      <c r="C186" t="s">
        <v>55</v>
      </c>
    </row>
    <row r="187" spans="1:3">
      <c r="A187" s="4" t="s">
        <v>181</v>
      </c>
      <c r="C187" t="s">
        <v>238</v>
      </c>
    </row>
    <row r="188" spans="1:3">
      <c r="A188" s="4" t="s">
        <v>182</v>
      </c>
      <c r="C188" t="s">
        <v>239</v>
      </c>
    </row>
    <row r="189" spans="1:3">
      <c r="A189" s="4" t="s">
        <v>183</v>
      </c>
      <c r="C189" t="s">
        <v>99</v>
      </c>
    </row>
    <row r="190" spans="1:3">
      <c r="A190" s="4" t="s">
        <v>184</v>
      </c>
      <c r="C190" t="s">
        <v>240</v>
      </c>
    </row>
    <row r="191" spans="1:3">
      <c r="A191" s="4" t="s">
        <v>185</v>
      </c>
      <c r="C191" t="s">
        <v>56</v>
      </c>
    </row>
    <row r="192" spans="1:3">
      <c r="A192" s="4" t="s">
        <v>186</v>
      </c>
      <c r="C192" t="s">
        <v>241</v>
      </c>
    </row>
    <row r="193" spans="1:3">
      <c r="A193" s="4" t="s">
        <v>187</v>
      </c>
      <c r="C193" t="s">
        <v>100</v>
      </c>
    </row>
    <row r="194" spans="1:3">
      <c r="A194" s="4" t="s">
        <v>188</v>
      </c>
      <c r="C194" t="s">
        <v>242</v>
      </c>
    </row>
    <row r="195" spans="1:3">
      <c r="A195" s="4" t="s">
        <v>189</v>
      </c>
      <c r="C195" t="s">
        <v>243</v>
      </c>
    </row>
    <row r="196" spans="1:3">
      <c r="A196" s="4" t="s">
        <v>190</v>
      </c>
      <c r="C196" t="s">
        <v>244</v>
      </c>
    </row>
    <row r="197" spans="1:3">
      <c r="A197" s="4" t="s">
        <v>191</v>
      </c>
      <c r="C197" t="s">
        <v>245</v>
      </c>
    </row>
    <row r="198" spans="1:3">
      <c r="A198" s="4" t="s">
        <v>192</v>
      </c>
      <c r="C198" t="s">
        <v>101</v>
      </c>
    </row>
    <row r="199" spans="1:3">
      <c r="A199" s="4" t="s">
        <v>193</v>
      </c>
      <c r="C199" t="s">
        <v>246</v>
      </c>
    </row>
    <row r="200" spans="1:3">
      <c r="A200" s="4" t="s">
        <v>194</v>
      </c>
      <c r="C200" t="s">
        <v>102</v>
      </c>
    </row>
    <row r="201" spans="1:3">
      <c r="A201" s="4" t="s">
        <v>195</v>
      </c>
      <c r="C201" t="s">
        <v>247</v>
      </c>
    </row>
    <row r="202" spans="1:3">
      <c r="A202" s="4" t="s">
        <v>196</v>
      </c>
      <c r="C202" t="s">
        <v>248</v>
      </c>
    </row>
    <row r="203" spans="1:3">
      <c r="A203" s="4" t="s">
        <v>197</v>
      </c>
      <c r="C203" t="s">
        <v>249</v>
      </c>
    </row>
    <row r="204" spans="1:3">
      <c r="A204" s="4" t="s">
        <v>198</v>
      </c>
      <c r="C204" t="s">
        <v>250</v>
      </c>
    </row>
    <row r="205" spans="1:3">
      <c r="A205" s="4" t="s">
        <v>200</v>
      </c>
      <c r="C205" t="s">
        <v>251</v>
      </c>
    </row>
    <row r="206" spans="1:3">
      <c r="A206" s="4" t="s">
        <v>201</v>
      </c>
      <c r="C206" t="s">
        <v>252</v>
      </c>
    </row>
    <row r="207" spans="1:3">
      <c r="A207" s="4" t="s">
        <v>202</v>
      </c>
      <c r="C207" t="s">
        <v>253</v>
      </c>
    </row>
    <row r="208" spans="1:3">
      <c r="A208" s="4" t="s">
        <v>203</v>
      </c>
      <c r="C208" t="s">
        <v>254</v>
      </c>
    </row>
    <row r="209" spans="1:3">
      <c r="A209" s="4" t="s">
        <v>205</v>
      </c>
      <c r="C209" t="s">
        <v>57</v>
      </c>
    </row>
    <row r="210" spans="1:3">
      <c r="A210" s="4" t="s">
        <v>206</v>
      </c>
      <c r="C210" t="s">
        <v>58</v>
      </c>
    </row>
    <row r="211" spans="1:3">
      <c r="A211" s="4" t="s">
        <v>207</v>
      </c>
      <c r="C211" t="s">
        <v>59</v>
      </c>
    </row>
    <row r="212" spans="1:3">
      <c r="A212" s="4" t="s">
        <v>208</v>
      </c>
      <c r="C212" t="s">
        <v>103</v>
      </c>
    </row>
    <row r="213" spans="1:3">
      <c r="A213" s="4" t="s">
        <v>209</v>
      </c>
      <c r="C213" t="s">
        <v>255</v>
      </c>
    </row>
    <row r="214" spans="1:3">
      <c r="A214" s="4" t="s">
        <v>210</v>
      </c>
      <c r="C214" t="s">
        <v>256</v>
      </c>
    </row>
    <row r="215" spans="1:3">
      <c r="A215" s="4" t="s">
        <v>211</v>
      </c>
      <c r="C215" t="s">
        <v>257</v>
      </c>
    </row>
    <row r="216" spans="1:3">
      <c r="A216" s="4" t="s">
        <v>212</v>
      </c>
      <c r="C216" t="s">
        <v>258</v>
      </c>
    </row>
    <row r="217" spans="1:3">
      <c r="A217" s="4" t="s">
        <v>213</v>
      </c>
      <c r="C217" t="s">
        <v>260</v>
      </c>
    </row>
    <row r="218" spans="1:3">
      <c r="A218" s="4" t="s">
        <v>214</v>
      </c>
      <c r="C218" t="s">
        <v>60</v>
      </c>
    </row>
    <row r="219" spans="1:3">
      <c r="A219" s="4" t="s">
        <v>215</v>
      </c>
      <c r="C219" t="s">
        <v>261</v>
      </c>
    </row>
    <row r="220" spans="1:3">
      <c r="A220" s="4" t="s">
        <v>216</v>
      </c>
      <c r="C220" t="s">
        <v>262</v>
      </c>
    </row>
    <row r="221" spans="1:3">
      <c r="A221" s="4" t="s">
        <v>217</v>
      </c>
      <c r="C221" t="s">
        <v>104</v>
      </c>
    </row>
    <row r="222" spans="1:3">
      <c r="A222" s="4" t="s">
        <v>218</v>
      </c>
      <c r="C222" t="s">
        <v>263</v>
      </c>
    </row>
    <row r="223" spans="1:3">
      <c r="A223" s="4" t="s">
        <v>219</v>
      </c>
      <c r="C223" t="s">
        <v>61</v>
      </c>
    </row>
    <row r="224" spans="1:3">
      <c r="A224" s="4" t="s">
        <v>220</v>
      </c>
      <c r="C224" t="s">
        <v>105</v>
      </c>
    </row>
    <row r="225" spans="1:3">
      <c r="A225" s="4" t="s">
        <v>221</v>
      </c>
      <c r="C225" t="s">
        <v>264</v>
      </c>
    </row>
    <row r="226" spans="1:3">
      <c r="A226" s="4" t="s">
        <v>222</v>
      </c>
      <c r="C226" t="s">
        <v>106</v>
      </c>
    </row>
    <row r="227" spans="1:3">
      <c r="A227" s="4" t="s">
        <v>223</v>
      </c>
      <c r="C227" t="s">
        <v>107</v>
      </c>
    </row>
    <row r="228" spans="1:3">
      <c r="A228" s="4" t="s">
        <v>224</v>
      </c>
      <c r="C228" t="s">
        <v>108</v>
      </c>
    </row>
    <row r="229" spans="1:3">
      <c r="A229" s="4" t="s">
        <v>225</v>
      </c>
      <c r="C229" t="s">
        <v>266</v>
      </c>
    </row>
    <row r="230" spans="1:3">
      <c r="A230" s="4" t="s">
        <v>226</v>
      </c>
      <c r="C230" t="s">
        <v>267</v>
      </c>
    </row>
    <row r="231" spans="1:3">
      <c r="A231" s="4" t="s">
        <v>227</v>
      </c>
      <c r="C231" t="s">
        <v>109</v>
      </c>
    </row>
    <row r="232" spans="1:3">
      <c r="A232" s="4" t="s">
        <v>228</v>
      </c>
      <c r="C232" t="s">
        <v>110</v>
      </c>
    </row>
    <row r="233" spans="1:3">
      <c r="A233" s="4" t="s">
        <v>229</v>
      </c>
      <c r="C233" t="s">
        <v>268</v>
      </c>
    </row>
    <row r="234" spans="1:3">
      <c r="A234" s="4" t="s">
        <v>230</v>
      </c>
      <c r="C234" t="s">
        <v>269</v>
      </c>
    </row>
    <row r="235" spans="1:3">
      <c r="A235" s="4" t="s">
        <v>231</v>
      </c>
      <c r="C235" t="s">
        <v>62</v>
      </c>
    </row>
    <row r="236" spans="1:3">
      <c r="A236" s="4" t="s">
        <v>232</v>
      </c>
      <c r="C236" t="s">
        <v>270</v>
      </c>
    </row>
    <row r="237" spans="1:3">
      <c r="A237" s="4" t="s">
        <v>233</v>
      </c>
      <c r="C237" t="s">
        <v>271</v>
      </c>
    </row>
    <row r="238" spans="1:3">
      <c r="A238" s="4" t="s">
        <v>234</v>
      </c>
      <c r="C238" t="s">
        <v>272</v>
      </c>
    </row>
    <row r="239" spans="1:3">
      <c r="A239" s="4" t="s">
        <v>235</v>
      </c>
      <c r="C239" t="s">
        <v>63</v>
      </c>
    </row>
    <row r="240" spans="1:3">
      <c r="A240" s="4" t="s">
        <v>236</v>
      </c>
      <c r="C240" t="s">
        <v>64</v>
      </c>
    </row>
    <row r="241" spans="1:3">
      <c r="A241" s="4" t="s">
        <v>237</v>
      </c>
      <c r="C241" t="s">
        <v>273</v>
      </c>
    </row>
    <row r="242" spans="1:3">
      <c r="A242" s="4" t="s">
        <v>238</v>
      </c>
      <c r="C242" t="s">
        <v>274</v>
      </c>
    </row>
    <row r="243" spans="1:3">
      <c r="A243" s="4" t="s">
        <v>239</v>
      </c>
      <c r="C243" t="s">
        <v>275</v>
      </c>
    </row>
    <row r="244" spans="1:3">
      <c r="A244" s="4" t="s">
        <v>240</v>
      </c>
      <c r="C244" t="s">
        <v>276</v>
      </c>
    </row>
    <row r="245" spans="1:3">
      <c r="A245" s="4" t="s">
        <v>241</v>
      </c>
      <c r="C245" t="s">
        <v>65</v>
      </c>
    </row>
    <row r="246" spans="1:3">
      <c r="A246" s="4" t="s">
        <v>242</v>
      </c>
      <c r="C246" t="s">
        <v>277</v>
      </c>
    </row>
    <row r="247" spans="1:3">
      <c r="A247" s="4" t="s">
        <v>243</v>
      </c>
      <c r="C247" t="s">
        <v>278</v>
      </c>
    </row>
    <row r="248" spans="1:3">
      <c r="A248" s="4" t="s">
        <v>244</v>
      </c>
      <c r="C248" t="s">
        <v>280</v>
      </c>
    </row>
    <row r="249" spans="1:3">
      <c r="A249" s="4" t="s">
        <v>245</v>
      </c>
      <c r="C249" t="s">
        <v>281</v>
      </c>
    </row>
    <row r="250" spans="1:3">
      <c r="A250" s="4" t="s">
        <v>246</v>
      </c>
      <c r="C250" t="s">
        <v>282</v>
      </c>
    </row>
    <row r="251" spans="1:3">
      <c r="A251" s="4" t="s">
        <v>247</v>
      </c>
      <c r="C251" t="s">
        <v>283</v>
      </c>
    </row>
    <row r="252" spans="1:3">
      <c r="A252" s="4" t="s">
        <v>248</v>
      </c>
      <c r="C252" t="s">
        <v>66</v>
      </c>
    </row>
    <row r="253" spans="1:3">
      <c r="A253" s="4" t="s">
        <v>249</v>
      </c>
      <c r="C253" t="s">
        <v>284</v>
      </c>
    </row>
    <row r="254" spans="1:3">
      <c r="A254" s="4" t="s">
        <v>250</v>
      </c>
      <c r="C254" t="s">
        <v>67</v>
      </c>
    </row>
    <row r="255" spans="1:3">
      <c r="A255" s="4" t="s">
        <v>251</v>
      </c>
      <c r="C255" t="s">
        <v>68</v>
      </c>
    </row>
    <row r="256" spans="1:3">
      <c r="A256" s="4" t="s">
        <v>252</v>
      </c>
      <c r="C256" t="s">
        <v>285</v>
      </c>
    </row>
    <row r="257" spans="1:3">
      <c r="A257" s="4" t="s">
        <v>253</v>
      </c>
      <c r="C257" t="s">
        <v>111</v>
      </c>
    </row>
    <row r="258" spans="1:3">
      <c r="A258" s="4" t="s">
        <v>254</v>
      </c>
      <c r="C258" t="s">
        <v>286</v>
      </c>
    </row>
    <row r="259" spans="1:3">
      <c r="A259" s="4" t="s">
        <v>255</v>
      </c>
      <c r="C259" t="s">
        <v>287</v>
      </c>
    </row>
    <row r="260" spans="1:3">
      <c r="A260" s="4" t="s">
        <v>256</v>
      </c>
      <c r="C260" t="s">
        <v>288</v>
      </c>
    </row>
    <row r="261" spans="1:3">
      <c r="A261" s="4" t="s">
        <v>257</v>
      </c>
      <c r="C261" t="s">
        <v>69</v>
      </c>
    </row>
    <row r="262" spans="1:3">
      <c r="A262" s="4" t="s">
        <v>258</v>
      </c>
      <c r="C262" t="s">
        <v>289</v>
      </c>
    </row>
    <row r="263" spans="1:3">
      <c r="A263" s="4" t="s">
        <v>260</v>
      </c>
      <c r="C263" t="s">
        <v>112</v>
      </c>
    </row>
    <row r="264" spans="1:3">
      <c r="A264" s="4" t="s">
        <v>261</v>
      </c>
      <c r="C264" t="s">
        <v>290</v>
      </c>
    </row>
    <row r="265" spans="1:3">
      <c r="A265" s="4" t="s">
        <v>262</v>
      </c>
      <c r="C265" t="s">
        <v>291</v>
      </c>
    </row>
    <row r="266" spans="1:3">
      <c r="A266" s="4" t="s">
        <v>263</v>
      </c>
      <c r="C266" t="s">
        <v>292</v>
      </c>
    </row>
    <row r="267" spans="1:3">
      <c r="A267" s="4" t="s">
        <v>264</v>
      </c>
      <c r="C267" t="s">
        <v>293</v>
      </c>
    </row>
    <row r="268" spans="1:3">
      <c r="A268" s="4" t="s">
        <v>266</v>
      </c>
      <c r="C268" t="s">
        <v>113</v>
      </c>
    </row>
    <row r="269" spans="1:3">
      <c r="A269" s="4" t="s">
        <v>267</v>
      </c>
      <c r="C269" t="s">
        <v>294</v>
      </c>
    </row>
    <row r="270" spans="1:3">
      <c r="A270" s="4" t="s">
        <v>268</v>
      </c>
      <c r="C270" t="s">
        <v>70</v>
      </c>
    </row>
    <row r="271" spans="1:3">
      <c r="A271" s="4" t="s">
        <v>269</v>
      </c>
      <c r="C271" t="s">
        <v>71</v>
      </c>
    </row>
    <row r="272" spans="1:3">
      <c r="A272" s="4" t="s">
        <v>270</v>
      </c>
      <c r="C272" t="s">
        <v>295</v>
      </c>
    </row>
    <row r="273" spans="1:3">
      <c r="A273" s="4" t="s">
        <v>271</v>
      </c>
      <c r="C273" t="s">
        <v>296</v>
      </c>
    </row>
    <row r="274" spans="1:3">
      <c r="A274" s="4" t="s">
        <v>272</v>
      </c>
      <c r="C274" t="s">
        <v>297</v>
      </c>
    </row>
    <row r="275" spans="1:3">
      <c r="A275" s="4" t="s">
        <v>273</v>
      </c>
      <c r="C275" t="s">
        <v>114</v>
      </c>
    </row>
    <row r="276" spans="1:3">
      <c r="A276" s="4" t="s">
        <v>274</v>
      </c>
      <c r="C276" t="s">
        <v>72</v>
      </c>
    </row>
    <row r="277" spans="1:3">
      <c r="A277" s="4" t="s">
        <v>275</v>
      </c>
      <c r="C277" t="s">
        <v>298</v>
      </c>
    </row>
    <row r="278" spans="1:3">
      <c r="A278" s="4" t="s">
        <v>276</v>
      </c>
      <c r="C278" t="s">
        <v>299</v>
      </c>
    </row>
    <row r="279" spans="1:3">
      <c r="A279" s="4" t="s">
        <v>277</v>
      </c>
      <c r="C279" t="s">
        <v>115</v>
      </c>
    </row>
    <row r="280" spans="1:3">
      <c r="A280" s="4" t="s">
        <v>278</v>
      </c>
      <c r="C280" t="s">
        <v>300</v>
      </c>
    </row>
    <row r="281" spans="1:3">
      <c r="A281" s="4" t="s">
        <v>280</v>
      </c>
      <c r="C281" t="s">
        <v>301</v>
      </c>
    </row>
    <row r="282" spans="1:3">
      <c r="A282" s="4" t="s">
        <v>281</v>
      </c>
      <c r="C282" t="s">
        <v>302</v>
      </c>
    </row>
    <row r="283" spans="1:3">
      <c r="A283" s="4" t="s">
        <v>282</v>
      </c>
      <c r="C283" t="s">
        <v>73</v>
      </c>
    </row>
    <row r="284" spans="1:3">
      <c r="A284" s="4" t="s">
        <v>283</v>
      </c>
      <c r="C284" t="s">
        <v>74</v>
      </c>
    </row>
    <row r="285" spans="1:3">
      <c r="A285" s="4" t="s">
        <v>284</v>
      </c>
      <c r="C285" t="s">
        <v>303</v>
      </c>
    </row>
    <row r="286" spans="1:3">
      <c r="A286" s="4" t="s">
        <v>285</v>
      </c>
      <c r="C286" t="s">
        <v>304</v>
      </c>
    </row>
    <row r="287" spans="1:3">
      <c r="A287" s="4" t="s">
        <v>286</v>
      </c>
      <c r="C287" t="s">
        <v>305</v>
      </c>
    </row>
    <row r="288" spans="1:3">
      <c r="A288" s="4" t="s">
        <v>287</v>
      </c>
      <c r="C288" t="s">
        <v>306</v>
      </c>
    </row>
    <row r="289" spans="1:3">
      <c r="A289" s="4" t="s">
        <v>288</v>
      </c>
      <c r="C289" t="s">
        <v>307</v>
      </c>
    </row>
    <row r="290" spans="1:3">
      <c r="A290" s="4" t="s">
        <v>289</v>
      </c>
      <c r="C290" t="s">
        <v>308</v>
      </c>
    </row>
    <row r="291" spans="1:3">
      <c r="A291" s="4" t="s">
        <v>290</v>
      </c>
      <c r="C291" t="s">
        <v>309</v>
      </c>
    </row>
    <row r="292" spans="1:3">
      <c r="A292" s="4" t="s">
        <v>291</v>
      </c>
      <c r="C292" t="s">
        <v>75</v>
      </c>
    </row>
    <row r="293" spans="1:3">
      <c r="A293" s="4" t="s">
        <v>292</v>
      </c>
      <c r="C293" t="s">
        <v>310</v>
      </c>
    </row>
    <row r="294" spans="1:3">
      <c r="A294" s="4" t="s">
        <v>293</v>
      </c>
      <c r="C294" t="s">
        <v>116</v>
      </c>
    </row>
    <row r="295" spans="1:3">
      <c r="A295" s="4" t="s">
        <v>294</v>
      </c>
      <c r="C295" t="s">
        <v>311</v>
      </c>
    </row>
    <row r="296" spans="1:3">
      <c r="A296" s="4" t="s">
        <v>295</v>
      </c>
      <c r="C296" t="s">
        <v>313</v>
      </c>
    </row>
    <row r="297" spans="1:3">
      <c r="A297" s="4" t="s">
        <v>296</v>
      </c>
      <c r="C297" t="s">
        <v>76</v>
      </c>
    </row>
    <row r="298" spans="1:3">
      <c r="A298" s="4" t="s">
        <v>297</v>
      </c>
      <c r="C298" t="s">
        <v>314</v>
      </c>
    </row>
    <row r="299" spans="1:3">
      <c r="A299" s="4" t="s">
        <v>298</v>
      </c>
      <c r="C299" t="s">
        <v>315</v>
      </c>
    </row>
    <row r="300" spans="1:3">
      <c r="A300" s="4" t="s">
        <v>299</v>
      </c>
      <c r="C300" t="s">
        <v>316</v>
      </c>
    </row>
    <row r="301" spans="1:3">
      <c r="A301" s="4" t="s">
        <v>300</v>
      </c>
      <c r="C301" t="s">
        <v>317</v>
      </c>
    </row>
    <row r="302" spans="1:3">
      <c r="A302" s="4" t="s">
        <v>301</v>
      </c>
      <c r="C302" t="s">
        <v>318</v>
      </c>
    </row>
    <row r="303" spans="1:3">
      <c r="A303" s="4" t="s">
        <v>302</v>
      </c>
      <c r="C303" t="s">
        <v>319</v>
      </c>
    </row>
    <row r="304" spans="1:3">
      <c r="A304" s="4" t="s">
        <v>303</v>
      </c>
      <c r="C304" t="s">
        <v>320</v>
      </c>
    </row>
    <row r="305" spans="1:3">
      <c r="A305" s="4" t="s">
        <v>304</v>
      </c>
      <c r="C305" t="s">
        <v>321</v>
      </c>
    </row>
    <row r="306" spans="1:3">
      <c r="A306" s="4" t="s">
        <v>305</v>
      </c>
      <c r="C306" t="s">
        <v>322</v>
      </c>
    </row>
    <row r="307" spans="1:3">
      <c r="A307" s="4" t="s">
        <v>306</v>
      </c>
      <c r="C307" t="s">
        <v>323</v>
      </c>
    </row>
    <row r="308" spans="1:3">
      <c r="A308" s="4" t="s">
        <v>307</v>
      </c>
      <c r="C308" t="s">
        <v>324</v>
      </c>
    </row>
    <row r="309" spans="1:3">
      <c r="A309" s="4" t="s">
        <v>308</v>
      </c>
      <c r="C309" t="s">
        <v>325</v>
      </c>
    </row>
    <row r="310" spans="1:3">
      <c r="A310" s="4" t="s">
        <v>309</v>
      </c>
      <c r="C310" t="s">
        <v>117</v>
      </c>
    </row>
    <row r="311" spans="1:3">
      <c r="A311" s="4" t="s">
        <v>310</v>
      </c>
      <c r="C311" t="s">
        <v>77</v>
      </c>
    </row>
    <row r="312" spans="1:3">
      <c r="A312" s="4" t="s">
        <v>311</v>
      </c>
      <c r="C312" t="s">
        <v>326</v>
      </c>
    </row>
    <row r="313" spans="1:3">
      <c r="A313" s="4" t="s">
        <v>313</v>
      </c>
      <c r="C313" t="s">
        <v>327</v>
      </c>
    </row>
    <row r="314" spans="1:3">
      <c r="A314" s="4" t="s">
        <v>314</v>
      </c>
      <c r="C314" t="s">
        <v>78</v>
      </c>
    </row>
    <row r="315" spans="1:3">
      <c r="A315" s="4" t="s">
        <v>315</v>
      </c>
      <c r="C315" t="s">
        <v>328</v>
      </c>
    </row>
    <row r="316" spans="1:3">
      <c r="A316" s="4" t="s">
        <v>316</v>
      </c>
      <c r="C316" t="s">
        <v>79</v>
      </c>
    </row>
    <row r="317" spans="1:3">
      <c r="A317" s="4" t="s">
        <v>317</v>
      </c>
      <c r="C317" t="s">
        <v>118</v>
      </c>
    </row>
    <row r="318" spans="1:3">
      <c r="A318" s="4" t="s">
        <v>318</v>
      </c>
      <c r="C318" t="s">
        <v>329</v>
      </c>
    </row>
    <row r="319" spans="1:3">
      <c r="A319" s="4" t="s">
        <v>319</v>
      </c>
      <c r="C319" t="s">
        <v>330</v>
      </c>
    </row>
    <row r="320" spans="1:3">
      <c r="A320" s="4" t="s">
        <v>320</v>
      </c>
      <c r="C320" t="s">
        <v>331</v>
      </c>
    </row>
    <row r="321" spans="1:3">
      <c r="A321" s="4" t="s">
        <v>321</v>
      </c>
      <c r="C321" t="s">
        <v>332</v>
      </c>
    </row>
    <row r="322" spans="1:3">
      <c r="A322" s="4" t="s">
        <v>322</v>
      </c>
      <c r="C322" t="s">
        <v>333</v>
      </c>
    </row>
    <row r="323" spans="1:3">
      <c r="A323" s="4" t="s">
        <v>323</v>
      </c>
      <c r="C323" t="s">
        <v>334</v>
      </c>
    </row>
    <row r="324" spans="1:3">
      <c r="A324" s="4" t="s">
        <v>324</v>
      </c>
      <c r="C324" t="s">
        <v>80</v>
      </c>
    </row>
    <row r="325" spans="1:3">
      <c r="A325" s="4" t="s">
        <v>325</v>
      </c>
      <c r="C325" t="s">
        <v>335</v>
      </c>
    </row>
    <row r="326" spans="1:3">
      <c r="A326" s="4" t="s">
        <v>326</v>
      </c>
      <c r="C326" t="s">
        <v>336</v>
      </c>
    </row>
    <row r="327" spans="1:3">
      <c r="A327" s="4" t="s">
        <v>327</v>
      </c>
      <c r="C327" t="s">
        <v>337</v>
      </c>
    </row>
    <row r="328" spans="1:3">
      <c r="A328" s="4" t="s">
        <v>328</v>
      </c>
      <c r="C328" t="s">
        <v>338</v>
      </c>
    </row>
    <row r="329" spans="1:3">
      <c r="A329" s="4" t="s">
        <v>329</v>
      </c>
      <c r="C329" t="s">
        <v>339</v>
      </c>
    </row>
    <row r="330" spans="1:3">
      <c r="A330" s="4" t="s">
        <v>330</v>
      </c>
      <c r="C330" t="s">
        <v>340</v>
      </c>
    </row>
    <row r="331" spans="1:3">
      <c r="A331" s="4" t="s">
        <v>331</v>
      </c>
      <c r="C331" t="s">
        <v>341</v>
      </c>
    </row>
    <row r="332" spans="1:3">
      <c r="A332" s="4" t="s">
        <v>332</v>
      </c>
      <c r="C332" t="s">
        <v>342</v>
      </c>
    </row>
    <row r="333" spans="1:3">
      <c r="A333" s="4" t="s">
        <v>333</v>
      </c>
      <c r="C333" t="s">
        <v>81</v>
      </c>
    </row>
    <row r="334" spans="1:3">
      <c r="A334" s="4" t="s">
        <v>334</v>
      </c>
      <c r="C334" t="s">
        <v>82</v>
      </c>
    </row>
    <row r="335" spans="1:3">
      <c r="A335" s="4" t="s">
        <v>335</v>
      </c>
      <c r="C335" t="s">
        <v>343</v>
      </c>
    </row>
    <row r="336" spans="1:3">
      <c r="A336" s="4" t="s">
        <v>336</v>
      </c>
      <c r="C336" t="s">
        <v>83</v>
      </c>
    </row>
    <row r="337" spans="1:3">
      <c r="A337" s="4" t="s">
        <v>337</v>
      </c>
      <c r="C337" t="s">
        <v>119</v>
      </c>
    </row>
    <row r="338" spans="1:3">
      <c r="A338" s="4" t="s">
        <v>338</v>
      </c>
      <c r="C338" t="s">
        <v>344</v>
      </c>
    </row>
    <row r="339" spans="1:3">
      <c r="A339" s="4" t="s">
        <v>339</v>
      </c>
      <c r="C339" t="s">
        <v>345</v>
      </c>
    </row>
    <row r="340" spans="1:3">
      <c r="A340" s="4" t="s">
        <v>340</v>
      </c>
      <c r="C340" t="s">
        <v>346</v>
      </c>
    </row>
    <row r="341" spans="1:3">
      <c r="A341" s="4" t="s">
        <v>341</v>
      </c>
      <c r="C341" t="s">
        <v>347</v>
      </c>
    </row>
    <row r="342" spans="1:3">
      <c r="A342" s="4" t="s">
        <v>342</v>
      </c>
      <c r="C342" t="s">
        <v>84</v>
      </c>
    </row>
    <row r="343" spans="1:3">
      <c r="A343" s="4" t="s">
        <v>343</v>
      </c>
      <c r="C343" t="s">
        <v>348</v>
      </c>
    </row>
    <row r="344" spans="1:3">
      <c r="A344" s="4" t="s">
        <v>344</v>
      </c>
      <c r="C344" t="s">
        <v>349</v>
      </c>
    </row>
    <row r="345" spans="1:3">
      <c r="A345" s="4" t="s">
        <v>345</v>
      </c>
      <c r="C345" t="s">
        <v>350</v>
      </c>
    </row>
    <row r="346" spans="1:3">
      <c r="A346" s="4" t="s">
        <v>346</v>
      </c>
      <c r="C346" t="s">
        <v>85</v>
      </c>
    </row>
    <row r="347" spans="1:3">
      <c r="A347" s="4" t="s">
        <v>347</v>
      </c>
      <c r="C347" t="s">
        <v>351</v>
      </c>
    </row>
    <row r="348" spans="1:3">
      <c r="A348" s="4" t="s">
        <v>348</v>
      </c>
      <c r="C348" t="s">
        <v>352</v>
      </c>
    </row>
    <row r="349" spans="1:3">
      <c r="A349" s="4" t="s">
        <v>349</v>
      </c>
      <c r="C349" t="s">
        <v>353</v>
      </c>
    </row>
    <row r="350" spans="1:3">
      <c r="A350" s="4" t="s">
        <v>350</v>
      </c>
      <c r="C350" t="s">
        <v>354</v>
      </c>
    </row>
    <row r="351" spans="1:3">
      <c r="A351" s="4" t="s">
        <v>351</v>
      </c>
      <c r="C351" t="s">
        <v>355</v>
      </c>
    </row>
    <row r="352" spans="1:3">
      <c r="A352" s="4" t="s">
        <v>352</v>
      </c>
      <c r="C352" t="s">
        <v>86</v>
      </c>
    </row>
    <row r="353" spans="1:3">
      <c r="A353" s="4" t="s">
        <v>353</v>
      </c>
      <c r="C353" t="s">
        <v>356</v>
      </c>
    </row>
    <row r="354" spans="1:3">
      <c r="A354" s="4" t="s">
        <v>354</v>
      </c>
      <c r="C354" t="s">
        <v>357</v>
      </c>
    </row>
    <row r="355" spans="1:3">
      <c r="A355" s="4" t="s">
        <v>355</v>
      </c>
      <c r="C355" t="s">
        <v>87</v>
      </c>
    </row>
    <row r="356" spans="1:3">
      <c r="A356" s="4" t="s">
        <v>356</v>
      </c>
      <c r="C356" t="s">
        <v>358</v>
      </c>
    </row>
    <row r="357" spans="1:3">
      <c r="A357" s="4" t="s">
        <v>357</v>
      </c>
      <c r="C357" t="s">
        <v>359</v>
      </c>
    </row>
    <row r="358" spans="1:3">
      <c r="A358" s="4" t="s">
        <v>358</v>
      </c>
      <c r="C358" t="s">
        <v>360</v>
      </c>
    </row>
    <row r="359" spans="1:3">
      <c r="A359" s="4" t="s">
        <v>359</v>
      </c>
      <c r="C359" t="s">
        <v>88</v>
      </c>
    </row>
    <row r="360" spans="1:3">
      <c r="A360" s="4" t="s">
        <v>360</v>
      </c>
      <c r="C360" t="s">
        <v>361</v>
      </c>
    </row>
    <row r="361" spans="1:3">
      <c r="A361" s="4" t="s">
        <v>361</v>
      </c>
      <c r="C361" t="s">
        <v>89</v>
      </c>
    </row>
    <row r="362" spans="1:3">
      <c r="A362" s="4" t="s">
        <v>362</v>
      </c>
      <c r="C362" t="s">
        <v>362</v>
      </c>
    </row>
    <row r="363" spans="1:3">
      <c r="A363" s="4" t="s">
        <v>363</v>
      </c>
      <c r="C363" t="s">
        <v>363</v>
      </c>
    </row>
    <row r="364" spans="1:3">
      <c r="A364" s="4" t="s">
        <v>364</v>
      </c>
      <c r="C364" t="s">
        <v>364</v>
      </c>
    </row>
    <row r="365" spans="1:3">
      <c r="A365" s="4" t="s">
        <v>365</v>
      </c>
      <c r="C365" t="s">
        <v>365</v>
      </c>
    </row>
    <row r="366" spans="1:3">
      <c r="A366" s="4" t="s">
        <v>366</v>
      </c>
      <c r="C366" t="s">
        <v>366</v>
      </c>
    </row>
  </sheetData>
  <autoFilter ref="C1:C379" xr:uid="{17DDBBA1-EDF2-41BA-940F-4CF1D94BA81F}">
    <sortState xmlns:xlrd2="http://schemas.microsoft.com/office/spreadsheetml/2017/richdata2" ref="C2:C379">
      <sortCondition sortBy="cellColor" ref="C1:C379" dxfId="1"/>
    </sortState>
  </autoFilter>
  <conditionalFormatting sqref="A1:A1048576 C1:C1048576">
    <cfRule type="uniqu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workbookViewId="0">
      <pane ySplit="1" topLeftCell="A2" activePane="bottomLeft" state="frozen"/>
      <selection pane="bottomLeft" activeCell="A2" sqref="A2:A34"/>
    </sheetView>
  </sheetViews>
  <sheetFormatPr defaultColWidth="9" defaultRowHeight="15"/>
  <cols>
    <col min="1" max="2" width="9" style="4"/>
    <col min="3" max="3" width="27" style="5" bestFit="1" customWidth="1"/>
    <col min="4" max="4" width="28.28515625" style="5" bestFit="1" customWidth="1"/>
    <col min="5" max="5" width="13.28515625" style="4" bestFit="1" customWidth="1"/>
    <col min="6" max="6" width="9.5703125" style="4" bestFit="1" customWidth="1"/>
    <col min="7" max="7" width="10.7109375" style="4" bestFit="1" customWidth="1"/>
    <col min="8" max="8" width="8.42578125" style="4" bestFit="1" customWidth="1"/>
    <col min="9" max="9" width="43.85546875" style="4" bestFit="1" customWidth="1"/>
    <col min="10" max="16384" width="9" style="4"/>
  </cols>
  <sheetData>
    <row r="1" spans="1:9" s="1" customFormat="1" ht="45">
      <c r="A1" s="1" t="s">
        <v>0</v>
      </c>
      <c r="B1" s="1" t="s">
        <v>1</v>
      </c>
      <c r="C1" s="2" t="s">
        <v>392</v>
      </c>
      <c r="D1" s="2" t="s">
        <v>393</v>
      </c>
      <c r="E1" s="3" t="s">
        <v>378</v>
      </c>
      <c r="F1" s="3" t="s">
        <v>379</v>
      </c>
      <c r="G1" s="1" t="s">
        <v>383</v>
      </c>
      <c r="H1" s="3" t="s">
        <v>382</v>
      </c>
      <c r="I1" s="1" t="s">
        <v>385</v>
      </c>
    </row>
    <row r="2" spans="1:9">
      <c r="A2" s="4" t="s">
        <v>90</v>
      </c>
      <c r="B2" s="4">
        <v>183</v>
      </c>
      <c r="C2" s="5" t="s">
        <v>368</v>
      </c>
      <c r="D2" s="5" t="s">
        <v>369</v>
      </c>
      <c r="G2" s="4" t="s">
        <v>380</v>
      </c>
    </row>
    <row r="3" spans="1:9">
      <c r="A3" s="4" t="s">
        <v>91</v>
      </c>
      <c r="B3" s="4">
        <v>262</v>
      </c>
      <c r="C3" s="5" t="s">
        <v>372</v>
      </c>
      <c r="D3" s="5" t="s">
        <v>371</v>
      </c>
      <c r="E3" s="4" t="s">
        <v>380</v>
      </c>
    </row>
    <row r="4" spans="1:9">
      <c r="A4" s="4" t="s">
        <v>92</v>
      </c>
      <c r="B4" s="4">
        <v>563</v>
      </c>
      <c r="C4" s="5" t="s">
        <v>370</v>
      </c>
      <c r="D4" s="5" t="s">
        <v>373</v>
      </c>
      <c r="E4" s="4" t="s">
        <v>380</v>
      </c>
    </row>
    <row r="5" spans="1:9">
      <c r="A5" s="4" t="s">
        <v>93</v>
      </c>
      <c r="B5" s="4">
        <v>999</v>
      </c>
      <c r="C5" s="5" t="s">
        <v>374</v>
      </c>
      <c r="D5" s="5" t="s">
        <v>375</v>
      </c>
      <c r="E5" s="4" t="s">
        <v>380</v>
      </c>
    </row>
    <row r="6" spans="1:9">
      <c r="A6" s="4" t="s">
        <v>94</v>
      </c>
      <c r="B6" s="4">
        <v>1298</v>
      </c>
      <c r="C6" s="5" t="s">
        <v>376</v>
      </c>
      <c r="D6" s="5" t="s">
        <v>377</v>
      </c>
      <c r="G6" s="4" t="s">
        <v>380</v>
      </c>
    </row>
    <row r="7" spans="1:9">
      <c r="A7" s="4" t="s">
        <v>95</v>
      </c>
      <c r="B7" s="4">
        <v>131034</v>
      </c>
      <c r="C7" s="5" t="s">
        <v>381</v>
      </c>
      <c r="D7" s="5" t="s">
        <v>390</v>
      </c>
      <c r="E7" s="4" t="s">
        <v>380</v>
      </c>
      <c r="H7" s="4" t="s">
        <v>380</v>
      </c>
    </row>
    <row r="8" spans="1:9" s="15" customFormat="1">
      <c r="A8" s="17" t="s">
        <v>96</v>
      </c>
      <c r="B8" s="15">
        <v>1950</v>
      </c>
      <c r="C8" s="16"/>
      <c r="D8" s="16"/>
      <c r="I8" s="15" t="s">
        <v>386</v>
      </c>
    </row>
    <row r="9" spans="1:9" s="12" customFormat="1" ht="45">
      <c r="A9" s="6" t="s">
        <v>31</v>
      </c>
      <c r="B9" s="12">
        <v>2078</v>
      </c>
      <c r="C9" s="13"/>
      <c r="D9" s="13"/>
      <c r="F9" s="12" t="s">
        <v>380</v>
      </c>
      <c r="H9" s="12" t="s">
        <v>380</v>
      </c>
      <c r="I9" s="14" t="s">
        <v>387</v>
      </c>
    </row>
    <row r="10" spans="1:9">
      <c r="A10" s="4" t="s">
        <v>384</v>
      </c>
      <c r="B10" s="4">
        <v>10961</v>
      </c>
      <c r="E10" s="4" t="s">
        <v>380</v>
      </c>
      <c r="F10" s="4" t="s">
        <v>380</v>
      </c>
      <c r="H10" s="4" t="s">
        <v>380</v>
      </c>
      <c r="I10" s="4" t="s">
        <v>388</v>
      </c>
    </row>
    <row r="11" spans="1:9">
      <c r="A11" s="4" t="s">
        <v>97</v>
      </c>
      <c r="B11" s="4">
        <v>63901</v>
      </c>
      <c r="E11" s="4" t="s">
        <v>380</v>
      </c>
      <c r="F11" s="4" t="s">
        <v>380</v>
      </c>
      <c r="H11" s="4" t="s">
        <v>380</v>
      </c>
      <c r="I11" s="4" t="s">
        <v>388</v>
      </c>
    </row>
    <row r="12" spans="1:9">
      <c r="A12" s="4" t="s">
        <v>98</v>
      </c>
      <c r="B12" s="4">
        <v>9518</v>
      </c>
      <c r="C12" s="5" t="s">
        <v>389</v>
      </c>
      <c r="D12" s="5" t="s">
        <v>391</v>
      </c>
      <c r="E12" s="4" t="s">
        <v>380</v>
      </c>
    </row>
    <row r="13" spans="1:9">
      <c r="A13" s="4" t="s">
        <v>99</v>
      </c>
      <c r="B13" s="4">
        <v>3790</v>
      </c>
      <c r="C13" s="5" t="s">
        <v>394</v>
      </c>
      <c r="D13" s="5" t="s">
        <v>395</v>
      </c>
      <c r="E13" s="4" t="s">
        <v>380</v>
      </c>
      <c r="F13" s="4" t="s">
        <v>380</v>
      </c>
      <c r="H13" s="4" t="s">
        <v>380</v>
      </c>
      <c r="I13" s="4" t="s">
        <v>388</v>
      </c>
    </row>
    <row r="14" spans="1:9">
      <c r="A14" s="4" t="s">
        <v>100</v>
      </c>
      <c r="B14" s="4">
        <v>354</v>
      </c>
      <c r="C14" s="5" t="s">
        <v>396</v>
      </c>
      <c r="D14" s="5" t="s">
        <v>397</v>
      </c>
      <c r="E14" s="4" t="s">
        <v>380</v>
      </c>
    </row>
    <row r="15" spans="1:9">
      <c r="A15" s="4" t="s">
        <v>101</v>
      </c>
      <c r="B15" s="4">
        <v>3875</v>
      </c>
      <c r="C15" s="5" t="s">
        <v>398</v>
      </c>
      <c r="D15" s="5" t="s">
        <v>399</v>
      </c>
      <c r="E15" s="4" t="s">
        <v>380</v>
      </c>
    </row>
    <row r="16" spans="1:9">
      <c r="A16" s="4" t="s">
        <v>102</v>
      </c>
      <c r="B16" s="4">
        <v>3856</v>
      </c>
      <c r="C16" s="5" t="s">
        <v>400</v>
      </c>
      <c r="D16" s="5" t="s">
        <v>401</v>
      </c>
      <c r="E16" s="4" t="s">
        <v>380</v>
      </c>
    </row>
    <row r="17" spans="1:9">
      <c r="A17" s="4" t="s">
        <v>103</v>
      </c>
      <c r="B17" s="4">
        <v>79083</v>
      </c>
      <c r="C17" s="5" t="s">
        <v>402</v>
      </c>
      <c r="D17" s="5" t="s">
        <v>403</v>
      </c>
      <c r="E17" s="4" t="s">
        <v>380</v>
      </c>
    </row>
    <row r="18" spans="1:9">
      <c r="A18" s="9" t="s">
        <v>104</v>
      </c>
      <c r="B18" s="4">
        <v>4604</v>
      </c>
      <c r="C18" s="5" t="s">
        <v>394</v>
      </c>
      <c r="D18" s="5" t="s">
        <v>404</v>
      </c>
      <c r="E18" s="4" t="s">
        <v>380</v>
      </c>
      <c r="F18" s="4" t="s">
        <v>380</v>
      </c>
      <c r="G18" s="4" t="s">
        <v>380</v>
      </c>
      <c r="I18" s="8"/>
    </row>
    <row r="19" spans="1:9">
      <c r="A19" s="4" t="s">
        <v>105</v>
      </c>
      <c r="B19" s="4">
        <v>4646</v>
      </c>
      <c r="C19" s="5" t="s">
        <v>405</v>
      </c>
      <c r="D19" s="5" t="s">
        <v>406</v>
      </c>
      <c r="E19" s="4" t="s">
        <v>380</v>
      </c>
    </row>
    <row r="20" spans="1:9" s="15" customFormat="1">
      <c r="A20" s="17" t="s">
        <v>106</v>
      </c>
      <c r="B20" s="15">
        <v>23310</v>
      </c>
      <c r="C20" s="16"/>
      <c r="D20" s="16"/>
      <c r="I20" s="15" t="s">
        <v>386</v>
      </c>
    </row>
    <row r="21" spans="1:9">
      <c r="A21" s="4" t="s">
        <v>107</v>
      </c>
      <c r="B21" s="4">
        <v>8031</v>
      </c>
      <c r="C21" s="5" t="s">
        <v>396</v>
      </c>
      <c r="D21" s="5" t="s">
        <v>407</v>
      </c>
      <c r="E21" s="4" t="s">
        <v>380</v>
      </c>
    </row>
    <row r="22" spans="1:9">
      <c r="A22" s="4" t="s">
        <v>108</v>
      </c>
      <c r="B22" s="4">
        <v>10397</v>
      </c>
      <c r="C22" s="5" t="s">
        <v>408</v>
      </c>
      <c r="D22" s="5" t="s">
        <v>409</v>
      </c>
      <c r="E22" s="4" t="s">
        <v>380</v>
      </c>
    </row>
    <row r="23" spans="1:9">
      <c r="A23" s="4" t="s">
        <v>109</v>
      </c>
      <c r="B23" s="4">
        <v>4781</v>
      </c>
      <c r="C23" s="5" t="s">
        <v>408</v>
      </c>
      <c r="D23" s="5" t="s">
        <v>410</v>
      </c>
      <c r="E23" s="4" t="s">
        <v>380</v>
      </c>
    </row>
    <row r="24" spans="1:9">
      <c r="A24" s="4" t="s">
        <v>110</v>
      </c>
      <c r="B24" s="4">
        <v>4824</v>
      </c>
      <c r="C24" s="5" t="s">
        <v>411</v>
      </c>
      <c r="D24" s="5" t="s">
        <v>390</v>
      </c>
      <c r="E24" s="4" t="s">
        <v>380</v>
      </c>
    </row>
    <row r="25" spans="1:9" s="9" customFormat="1" ht="60">
      <c r="A25" s="7" t="s">
        <v>64</v>
      </c>
      <c r="B25" s="9">
        <v>8829</v>
      </c>
      <c r="C25" s="10" t="s">
        <v>412</v>
      </c>
      <c r="D25" s="10" t="s">
        <v>413</v>
      </c>
      <c r="E25" s="9" t="s">
        <v>380</v>
      </c>
      <c r="F25" s="9" t="s">
        <v>380</v>
      </c>
      <c r="H25" s="9" t="s">
        <v>380</v>
      </c>
      <c r="I25" s="11" t="s">
        <v>415</v>
      </c>
    </row>
    <row r="26" spans="1:9">
      <c r="A26" s="4" t="s">
        <v>111</v>
      </c>
      <c r="B26" s="4">
        <v>8799</v>
      </c>
      <c r="C26" s="5" t="s">
        <v>411</v>
      </c>
      <c r="D26" s="5" t="s">
        <v>407</v>
      </c>
      <c r="E26" s="4" t="s">
        <v>380</v>
      </c>
    </row>
    <row r="27" spans="1:9">
      <c r="A27" s="4" t="s">
        <v>112</v>
      </c>
      <c r="B27" s="4">
        <v>11187</v>
      </c>
      <c r="C27" s="5" t="s">
        <v>389</v>
      </c>
      <c r="D27" s="5" t="s">
        <v>414</v>
      </c>
      <c r="E27" s="4" t="s">
        <v>380</v>
      </c>
      <c r="F27" s="4" t="s">
        <v>380</v>
      </c>
      <c r="H27" s="4" t="s">
        <v>380</v>
      </c>
      <c r="I27" s="4" t="s">
        <v>388</v>
      </c>
    </row>
    <row r="28" spans="1:9">
      <c r="A28" s="4" t="s">
        <v>113</v>
      </c>
      <c r="B28" s="4">
        <v>5652</v>
      </c>
      <c r="C28" s="5" t="s">
        <v>416</v>
      </c>
      <c r="D28" s="5" t="s">
        <v>417</v>
      </c>
      <c r="G28" s="4" t="s">
        <v>380</v>
      </c>
    </row>
    <row r="29" spans="1:9">
      <c r="A29" s="4" t="s">
        <v>114</v>
      </c>
      <c r="B29" s="4">
        <v>5873</v>
      </c>
      <c r="C29" s="5" t="s">
        <v>405</v>
      </c>
      <c r="D29" s="5" t="s">
        <v>418</v>
      </c>
      <c r="E29" s="4" t="s">
        <v>380</v>
      </c>
    </row>
    <row r="30" spans="1:9">
      <c r="A30" s="4" t="s">
        <v>115</v>
      </c>
      <c r="B30" s="4">
        <v>5909</v>
      </c>
      <c r="C30" s="5" t="s">
        <v>411</v>
      </c>
      <c r="D30" s="5" t="s">
        <v>419</v>
      </c>
      <c r="E30" s="4" t="s">
        <v>380</v>
      </c>
    </row>
    <row r="31" spans="1:9" ht="30">
      <c r="A31" s="4" t="s">
        <v>116</v>
      </c>
      <c r="B31" s="4">
        <v>6304</v>
      </c>
      <c r="G31" s="4" t="s">
        <v>380</v>
      </c>
      <c r="I31" s="8" t="s">
        <v>420</v>
      </c>
    </row>
    <row r="32" spans="1:9" ht="30">
      <c r="A32" s="4" t="s">
        <v>117</v>
      </c>
      <c r="B32" s="4">
        <v>6611</v>
      </c>
      <c r="E32" s="4" t="s">
        <v>380</v>
      </c>
      <c r="F32" s="4" t="s">
        <v>380</v>
      </c>
      <c r="G32" s="4" t="s">
        <v>380</v>
      </c>
      <c r="I32" s="8" t="s">
        <v>420</v>
      </c>
    </row>
    <row r="33" spans="1:5">
      <c r="A33" s="4" t="s">
        <v>118</v>
      </c>
      <c r="B33" s="4">
        <v>58472</v>
      </c>
      <c r="C33" s="5" t="s">
        <v>421</v>
      </c>
      <c r="D33" s="5" t="s">
        <v>422</v>
      </c>
      <c r="E33" s="4" t="s">
        <v>380</v>
      </c>
    </row>
    <row r="34" spans="1:5">
      <c r="A34" s="4" t="s">
        <v>119</v>
      </c>
      <c r="B34" s="4">
        <v>7113</v>
      </c>
      <c r="C34" s="5" t="s">
        <v>396</v>
      </c>
      <c r="D34" s="5" t="s">
        <v>423</v>
      </c>
      <c r="E34" s="4" t="s">
        <v>380</v>
      </c>
    </row>
  </sheetData>
  <autoFilter ref="A1:I34" xr:uid="{00000000-0001-0000-0100-000000000000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workbookViewId="0">
      <pane ySplit="1" topLeftCell="A63" activePane="bottomLeft" state="frozen"/>
      <selection pane="bottomLeft" activeCell="A2" sqref="A2:A89"/>
    </sheetView>
  </sheetViews>
  <sheetFormatPr defaultColWidth="9" defaultRowHeight="15"/>
  <cols>
    <col min="1" max="2" width="9" style="4"/>
    <col min="3" max="3" width="27" style="5" bestFit="1" customWidth="1"/>
    <col min="4" max="4" width="24.42578125" style="5" bestFit="1" customWidth="1"/>
    <col min="5" max="5" width="9.5703125" style="4" bestFit="1" customWidth="1"/>
    <col min="6" max="6" width="13.28515625" style="4" bestFit="1" customWidth="1"/>
    <col min="7" max="7" width="10.7109375" style="4" bestFit="1" customWidth="1"/>
    <col min="8" max="8" width="8.42578125" style="4" bestFit="1" customWidth="1"/>
    <col min="9" max="9" width="54.85546875" style="4" bestFit="1" customWidth="1"/>
    <col min="10" max="16384" width="9" style="4"/>
  </cols>
  <sheetData>
    <row r="1" spans="1:9" s="1" customFormat="1" ht="45">
      <c r="A1" s="1" t="s">
        <v>0</v>
      </c>
      <c r="B1" s="1" t="s">
        <v>1</v>
      </c>
      <c r="C1" s="2" t="s">
        <v>424</v>
      </c>
      <c r="D1" s="2" t="s">
        <v>425</v>
      </c>
      <c r="E1" s="3" t="s">
        <v>379</v>
      </c>
      <c r="F1" s="3" t="s">
        <v>378</v>
      </c>
      <c r="G1" s="1" t="s">
        <v>383</v>
      </c>
      <c r="H1" s="3" t="s">
        <v>382</v>
      </c>
      <c r="I1" s="1" t="s">
        <v>367</v>
      </c>
    </row>
    <row r="2" spans="1:9">
      <c r="A2" s="4" t="s">
        <v>2</v>
      </c>
      <c r="B2" s="4">
        <v>2</v>
      </c>
      <c r="C2" s="5" t="s">
        <v>426</v>
      </c>
      <c r="D2" s="5" t="s">
        <v>428</v>
      </c>
      <c r="G2" s="4" t="s">
        <v>380</v>
      </c>
    </row>
    <row r="3" spans="1:9">
      <c r="A3" s="4" t="s">
        <v>3</v>
      </c>
      <c r="B3" s="4">
        <v>5243</v>
      </c>
      <c r="C3" s="5" t="s">
        <v>427</v>
      </c>
      <c r="D3" s="5" t="s">
        <v>429</v>
      </c>
      <c r="G3" s="4" t="s">
        <v>380</v>
      </c>
    </row>
    <row r="4" spans="1:9">
      <c r="A4" s="4" t="s">
        <v>4</v>
      </c>
      <c r="B4" s="4">
        <v>80332</v>
      </c>
      <c r="C4" s="5" t="s">
        <v>430</v>
      </c>
      <c r="D4" s="5" t="s">
        <v>431</v>
      </c>
      <c r="E4" s="4" t="s">
        <v>380</v>
      </c>
    </row>
    <row r="5" spans="1:9" ht="30">
      <c r="A5" s="4" t="s">
        <v>5</v>
      </c>
      <c r="B5" s="4">
        <v>8854</v>
      </c>
      <c r="C5" s="5" t="s">
        <v>432</v>
      </c>
      <c r="D5" s="5" t="s">
        <v>433</v>
      </c>
      <c r="E5" s="4" t="s">
        <v>380</v>
      </c>
      <c r="F5" s="4" t="s">
        <v>380</v>
      </c>
      <c r="G5" s="4" t="s">
        <v>380</v>
      </c>
      <c r="I5" s="8" t="s">
        <v>434</v>
      </c>
    </row>
    <row r="6" spans="1:9">
      <c r="A6" s="4" t="s">
        <v>6</v>
      </c>
      <c r="B6" s="4">
        <v>217</v>
      </c>
      <c r="C6" s="5" t="s">
        <v>432</v>
      </c>
      <c r="D6" s="5" t="s">
        <v>435</v>
      </c>
      <c r="G6" s="4" t="s">
        <v>380</v>
      </c>
    </row>
    <row r="7" spans="1:9">
      <c r="A7" s="4" t="s">
        <v>7</v>
      </c>
      <c r="B7" s="4">
        <v>8905</v>
      </c>
      <c r="C7" s="5" t="s">
        <v>436</v>
      </c>
      <c r="D7" s="5" t="s">
        <v>437</v>
      </c>
      <c r="F7" s="4" t="s">
        <v>380</v>
      </c>
      <c r="I7" s="4" t="s">
        <v>442</v>
      </c>
    </row>
    <row r="8" spans="1:9">
      <c r="A8" s="4" t="s">
        <v>8</v>
      </c>
      <c r="B8" s="4">
        <v>633</v>
      </c>
      <c r="C8" s="5" t="s">
        <v>438</v>
      </c>
      <c r="D8" s="5" t="s">
        <v>439</v>
      </c>
      <c r="E8" s="4" t="s">
        <v>380</v>
      </c>
      <c r="H8" s="4" t="s">
        <v>380</v>
      </c>
    </row>
    <row r="9" spans="1:9">
      <c r="A9" s="4" t="s">
        <v>9</v>
      </c>
      <c r="B9" s="4">
        <v>27319</v>
      </c>
      <c r="C9" s="5" t="s">
        <v>436</v>
      </c>
      <c r="D9" s="5" t="s">
        <v>437</v>
      </c>
      <c r="G9" s="4" t="s">
        <v>380</v>
      </c>
    </row>
    <row r="10" spans="1:9">
      <c r="A10" s="4" t="s">
        <v>10</v>
      </c>
      <c r="B10" s="4">
        <v>54796</v>
      </c>
      <c r="C10" s="5" t="s">
        <v>440</v>
      </c>
      <c r="D10" s="5" t="s">
        <v>441</v>
      </c>
      <c r="F10" s="4" t="s">
        <v>380</v>
      </c>
      <c r="I10" s="4" t="s">
        <v>442</v>
      </c>
    </row>
    <row r="11" spans="1:9">
      <c r="A11" s="4" t="s">
        <v>11</v>
      </c>
      <c r="B11" s="4">
        <v>716</v>
      </c>
      <c r="C11" s="5" t="s">
        <v>443</v>
      </c>
      <c r="D11" s="5" t="s">
        <v>444</v>
      </c>
      <c r="E11" s="4" t="s">
        <v>380</v>
      </c>
      <c r="H11" s="4" t="s">
        <v>380</v>
      </c>
    </row>
    <row r="12" spans="1:9">
      <c r="A12" s="4" t="s">
        <v>12</v>
      </c>
      <c r="B12" s="4">
        <v>800</v>
      </c>
      <c r="C12" s="5" t="s">
        <v>445</v>
      </c>
      <c r="D12" s="5" t="s">
        <v>446</v>
      </c>
      <c r="E12" s="4" t="s">
        <v>380</v>
      </c>
    </row>
    <row r="13" spans="1:9">
      <c r="A13" s="4" t="s">
        <v>13</v>
      </c>
      <c r="B13" s="4">
        <v>858</v>
      </c>
      <c r="C13" s="5" t="s">
        <v>447</v>
      </c>
      <c r="D13" s="5" t="s">
        <v>448</v>
      </c>
      <c r="E13" s="4" t="s">
        <v>380</v>
      </c>
    </row>
    <row r="14" spans="1:9">
      <c r="A14" s="4" t="s">
        <v>14</v>
      </c>
      <c r="B14" s="4">
        <v>57821</v>
      </c>
      <c r="C14" s="5" t="s">
        <v>432</v>
      </c>
      <c r="D14" s="5" t="s">
        <v>449</v>
      </c>
      <c r="G14" s="4" t="s">
        <v>380</v>
      </c>
    </row>
    <row r="15" spans="1:9">
      <c r="A15" s="4" t="s">
        <v>15</v>
      </c>
      <c r="B15" s="4">
        <v>1009</v>
      </c>
      <c r="C15" s="5" t="s">
        <v>443</v>
      </c>
      <c r="D15" s="5" t="s">
        <v>450</v>
      </c>
      <c r="E15" s="4" t="s">
        <v>380</v>
      </c>
      <c r="H15" s="4" t="s">
        <v>380</v>
      </c>
    </row>
    <row r="16" spans="1:9">
      <c r="A16" s="4" t="s">
        <v>16</v>
      </c>
      <c r="B16" s="4">
        <v>1026</v>
      </c>
      <c r="C16" s="5" t="s">
        <v>426</v>
      </c>
      <c r="D16" s="5" t="s">
        <v>451</v>
      </c>
      <c r="G16" s="4" t="s">
        <v>380</v>
      </c>
    </row>
    <row r="17" spans="1:9">
      <c r="A17" s="4" t="s">
        <v>17</v>
      </c>
      <c r="B17" s="4">
        <v>1052</v>
      </c>
      <c r="I17" s="15" t="s">
        <v>386</v>
      </c>
    </row>
    <row r="18" spans="1:9">
      <c r="A18" s="4" t="s">
        <v>18</v>
      </c>
      <c r="B18" s="4">
        <v>25932</v>
      </c>
      <c r="C18" s="5" t="s">
        <v>452</v>
      </c>
      <c r="D18" s="5" t="s">
        <v>453</v>
      </c>
      <c r="G18" s="4" t="s">
        <v>380</v>
      </c>
    </row>
    <row r="19" spans="1:9">
      <c r="A19" s="4" t="s">
        <v>19</v>
      </c>
      <c r="B19" s="4">
        <v>1264</v>
      </c>
      <c r="C19" s="5" t="s">
        <v>454</v>
      </c>
      <c r="D19" s="5" t="s">
        <v>455</v>
      </c>
      <c r="E19" s="4" t="s">
        <v>380</v>
      </c>
    </row>
    <row r="20" spans="1:9">
      <c r="A20" s="4" t="s">
        <v>20</v>
      </c>
      <c r="B20" s="4">
        <v>1307</v>
      </c>
      <c r="I20" s="4" t="s">
        <v>456</v>
      </c>
    </row>
    <row r="21" spans="1:9" ht="30">
      <c r="A21" s="4" t="s">
        <v>21</v>
      </c>
      <c r="B21" s="4">
        <v>1278</v>
      </c>
      <c r="C21" s="5" t="s">
        <v>432</v>
      </c>
      <c r="D21" s="5" t="s">
        <v>457</v>
      </c>
      <c r="E21" s="4" t="s">
        <v>380</v>
      </c>
      <c r="F21" s="4" t="s">
        <v>380</v>
      </c>
      <c r="G21" s="4" t="s">
        <v>380</v>
      </c>
      <c r="I21" s="8" t="s">
        <v>434</v>
      </c>
    </row>
    <row r="22" spans="1:9">
      <c r="A22" s="4" t="s">
        <v>22</v>
      </c>
      <c r="B22" s="4">
        <v>1281</v>
      </c>
      <c r="C22" s="5" t="s">
        <v>458</v>
      </c>
      <c r="D22" s="5" t="s">
        <v>459</v>
      </c>
      <c r="E22" s="4" t="s">
        <v>380</v>
      </c>
    </row>
    <row r="23" spans="1:9">
      <c r="A23" s="4" t="s">
        <v>23</v>
      </c>
      <c r="B23" s="4">
        <v>1290</v>
      </c>
      <c r="I23" s="4" t="s">
        <v>460</v>
      </c>
    </row>
    <row r="24" spans="1:9">
      <c r="A24" s="4" t="s">
        <v>24</v>
      </c>
      <c r="B24" s="4">
        <v>1292</v>
      </c>
      <c r="C24" s="5" t="s">
        <v>461</v>
      </c>
      <c r="D24" s="5" t="s">
        <v>462</v>
      </c>
      <c r="E24" s="4" t="s">
        <v>380</v>
      </c>
    </row>
    <row r="25" spans="1:9">
      <c r="A25" s="4" t="s">
        <v>25</v>
      </c>
      <c r="B25" s="4">
        <v>1293</v>
      </c>
      <c r="C25" s="5" t="s">
        <v>463</v>
      </c>
      <c r="D25" s="5" t="s">
        <v>464</v>
      </c>
      <c r="G25" s="4" t="s">
        <v>380</v>
      </c>
    </row>
    <row r="26" spans="1:9" ht="30">
      <c r="A26" s="4" t="s">
        <v>26</v>
      </c>
      <c r="B26" s="4">
        <v>23127</v>
      </c>
      <c r="C26" s="5" t="s">
        <v>464</v>
      </c>
      <c r="D26" s="5" t="s">
        <v>464</v>
      </c>
      <c r="E26" s="4" t="s">
        <v>380</v>
      </c>
      <c r="F26" s="4" t="s">
        <v>380</v>
      </c>
      <c r="G26" s="4" t="s">
        <v>380</v>
      </c>
      <c r="I26" s="8" t="s">
        <v>434</v>
      </c>
    </row>
    <row r="27" spans="1:9">
      <c r="A27" s="4" t="s">
        <v>27</v>
      </c>
      <c r="B27" s="4">
        <v>115908</v>
      </c>
      <c r="C27" s="5" t="s">
        <v>465</v>
      </c>
      <c r="D27" s="5" t="s">
        <v>464</v>
      </c>
      <c r="G27" s="4" t="s">
        <v>380</v>
      </c>
    </row>
    <row r="28" spans="1:9" ht="30">
      <c r="A28" s="4" t="s">
        <v>28</v>
      </c>
      <c r="B28" s="4">
        <v>1687</v>
      </c>
      <c r="C28" s="5" t="s">
        <v>466</v>
      </c>
      <c r="D28" s="5" t="s">
        <v>467</v>
      </c>
      <c r="E28" s="4" t="s">
        <v>380</v>
      </c>
      <c r="H28" s="4" t="s">
        <v>380</v>
      </c>
      <c r="I28" s="8" t="s">
        <v>520</v>
      </c>
    </row>
    <row r="29" spans="1:9">
      <c r="A29" s="4" t="s">
        <v>29</v>
      </c>
      <c r="B29" s="4">
        <v>253738</v>
      </c>
      <c r="I29" s="4" t="s">
        <v>386</v>
      </c>
    </row>
    <row r="30" spans="1:9">
      <c r="A30" s="4" t="s">
        <v>30</v>
      </c>
      <c r="B30" s="4">
        <v>2028</v>
      </c>
      <c r="C30" s="5" t="s">
        <v>466</v>
      </c>
      <c r="D30" s="5" t="s">
        <v>468</v>
      </c>
      <c r="E30" s="4" t="s">
        <v>380</v>
      </c>
    </row>
    <row r="31" spans="1:9" s="7" customFormat="1">
      <c r="A31" s="7" t="s">
        <v>31</v>
      </c>
      <c r="B31" s="7">
        <v>2078</v>
      </c>
      <c r="C31" s="18"/>
      <c r="D31" s="18"/>
      <c r="E31" s="7" t="s">
        <v>380</v>
      </c>
    </row>
    <row r="32" spans="1:9">
      <c r="A32" s="4" t="s">
        <v>32</v>
      </c>
      <c r="B32" s="4">
        <v>92689</v>
      </c>
      <c r="C32" s="5" t="s">
        <v>469</v>
      </c>
      <c r="D32" s="5" t="s">
        <v>470</v>
      </c>
      <c r="F32" s="4" t="s">
        <v>380</v>
      </c>
      <c r="I32" s="4" t="s">
        <v>442</v>
      </c>
    </row>
    <row r="33" spans="1:9">
      <c r="A33" s="4" t="s">
        <v>33</v>
      </c>
      <c r="B33" s="4">
        <v>2200</v>
      </c>
      <c r="C33" s="5" t="s">
        <v>471</v>
      </c>
      <c r="D33" s="5" t="s">
        <v>472</v>
      </c>
      <c r="E33" s="4" t="s">
        <v>380</v>
      </c>
    </row>
    <row r="34" spans="1:9">
      <c r="A34" s="4" t="s">
        <v>34</v>
      </c>
      <c r="B34" s="4">
        <v>2273</v>
      </c>
      <c r="C34" s="5" t="s">
        <v>473</v>
      </c>
      <c r="D34" s="5" t="s">
        <v>474</v>
      </c>
      <c r="E34" s="4" t="s">
        <v>380</v>
      </c>
    </row>
    <row r="35" spans="1:9" ht="30">
      <c r="A35" s="4" t="s">
        <v>35</v>
      </c>
      <c r="B35" s="4">
        <v>2321</v>
      </c>
      <c r="C35" s="5" t="s">
        <v>475</v>
      </c>
      <c r="D35" s="5" t="s">
        <v>476</v>
      </c>
      <c r="E35" s="4" t="s">
        <v>380</v>
      </c>
      <c r="H35" s="4" t="s">
        <v>380</v>
      </c>
      <c r="I35" s="8" t="s">
        <v>477</v>
      </c>
    </row>
    <row r="36" spans="1:9">
      <c r="A36" s="4" t="s">
        <v>36</v>
      </c>
      <c r="B36" s="4">
        <v>2335</v>
      </c>
      <c r="C36" s="5" t="s">
        <v>478</v>
      </c>
      <c r="D36" s="5" t="s">
        <v>479</v>
      </c>
      <c r="E36" s="4" t="s">
        <v>380</v>
      </c>
    </row>
    <row r="37" spans="1:9">
      <c r="A37" s="4" t="s">
        <v>37</v>
      </c>
      <c r="B37" s="4">
        <v>2487</v>
      </c>
      <c r="I37" s="4" t="s">
        <v>386</v>
      </c>
    </row>
    <row r="38" spans="1:9" ht="30">
      <c r="A38" s="4" t="s">
        <v>38</v>
      </c>
      <c r="B38" s="4">
        <v>8324</v>
      </c>
      <c r="C38" s="5" t="s">
        <v>480</v>
      </c>
      <c r="D38" s="5" t="s">
        <v>481</v>
      </c>
      <c r="E38" s="4" t="s">
        <v>380</v>
      </c>
      <c r="F38" s="4" t="s">
        <v>380</v>
      </c>
      <c r="G38" s="4" t="s">
        <v>380</v>
      </c>
      <c r="I38" s="8" t="s">
        <v>434</v>
      </c>
    </row>
    <row r="39" spans="1:9">
      <c r="A39" s="4" t="s">
        <v>39</v>
      </c>
      <c r="B39" s="4">
        <v>283431</v>
      </c>
      <c r="C39" s="5" t="s">
        <v>475</v>
      </c>
      <c r="D39" s="5" t="s">
        <v>482</v>
      </c>
      <c r="E39" s="4" t="s">
        <v>380</v>
      </c>
    </row>
    <row r="40" spans="1:9" ht="30">
      <c r="A40" s="4" t="s">
        <v>40</v>
      </c>
      <c r="B40" s="4">
        <v>59345</v>
      </c>
      <c r="C40" s="5" t="s">
        <v>483</v>
      </c>
      <c r="D40" s="5" t="s">
        <v>484</v>
      </c>
      <c r="E40" s="4" t="s">
        <v>380</v>
      </c>
      <c r="F40" s="4" t="s">
        <v>380</v>
      </c>
      <c r="G40" s="4" t="s">
        <v>380</v>
      </c>
      <c r="I40" s="8" t="s">
        <v>434</v>
      </c>
    </row>
    <row r="41" spans="1:9" ht="30">
      <c r="A41" s="4" t="s">
        <v>41</v>
      </c>
      <c r="B41" s="4">
        <v>2934</v>
      </c>
      <c r="C41" s="5" t="s">
        <v>471</v>
      </c>
      <c r="D41" s="5" t="s">
        <v>485</v>
      </c>
      <c r="E41" s="4" t="s">
        <v>380</v>
      </c>
      <c r="H41" s="4" t="s">
        <v>380</v>
      </c>
      <c r="I41" s="8" t="s">
        <v>599</v>
      </c>
    </row>
    <row r="42" spans="1:9">
      <c r="A42" s="4" t="s">
        <v>42</v>
      </c>
      <c r="B42" s="4">
        <v>9464</v>
      </c>
      <c r="C42" s="5" t="s">
        <v>469</v>
      </c>
      <c r="D42" s="5" t="s">
        <v>486</v>
      </c>
      <c r="F42" s="4" t="s">
        <v>380</v>
      </c>
      <c r="I42" s="4" t="s">
        <v>442</v>
      </c>
    </row>
    <row r="43" spans="1:9">
      <c r="A43" s="4" t="s">
        <v>43</v>
      </c>
      <c r="B43" s="4">
        <v>3090</v>
      </c>
      <c r="C43" s="5" t="s">
        <v>487</v>
      </c>
      <c r="D43" s="5" t="s">
        <v>488</v>
      </c>
      <c r="G43" s="4" t="s">
        <v>380</v>
      </c>
      <c r="I43" s="4" t="s">
        <v>498</v>
      </c>
    </row>
    <row r="44" spans="1:9">
      <c r="A44" s="4" t="s">
        <v>44</v>
      </c>
      <c r="B44" s="4">
        <v>3162</v>
      </c>
      <c r="C44" s="5" t="s">
        <v>483</v>
      </c>
      <c r="D44" s="5" t="s">
        <v>489</v>
      </c>
      <c r="G44" s="4" t="s">
        <v>380</v>
      </c>
    </row>
    <row r="45" spans="1:9">
      <c r="A45" s="4" t="s">
        <v>45</v>
      </c>
      <c r="B45" s="4">
        <v>3232</v>
      </c>
      <c r="I45" s="4" t="s">
        <v>386</v>
      </c>
    </row>
    <row r="46" spans="1:9">
      <c r="A46" s="4" t="s">
        <v>46</v>
      </c>
      <c r="B46" s="4">
        <v>3479</v>
      </c>
      <c r="C46" s="5" t="s">
        <v>490</v>
      </c>
      <c r="D46" s="5" t="s">
        <v>481</v>
      </c>
      <c r="G46" s="4" t="s">
        <v>380</v>
      </c>
    </row>
    <row r="47" spans="1:9">
      <c r="A47" s="4" t="s">
        <v>47</v>
      </c>
      <c r="B47" s="4">
        <v>3481</v>
      </c>
      <c r="C47" s="5" t="s">
        <v>491</v>
      </c>
      <c r="D47" s="5" t="s">
        <v>492</v>
      </c>
      <c r="G47" s="4" t="s">
        <v>380</v>
      </c>
    </row>
    <row r="48" spans="1:9">
      <c r="A48" s="4" t="s">
        <v>48</v>
      </c>
      <c r="B48" s="4">
        <v>3486</v>
      </c>
      <c r="I48" s="4" t="s">
        <v>386</v>
      </c>
    </row>
    <row r="49" spans="1:9">
      <c r="A49" s="4" t="s">
        <v>49</v>
      </c>
      <c r="B49" s="4">
        <v>3569</v>
      </c>
      <c r="C49" s="5" t="s">
        <v>469</v>
      </c>
      <c r="D49" s="5" t="s">
        <v>470</v>
      </c>
      <c r="G49" s="4" t="s">
        <v>380</v>
      </c>
    </row>
    <row r="50" spans="1:9" ht="30">
      <c r="A50" s="4" t="s">
        <v>50</v>
      </c>
      <c r="B50" s="4">
        <v>3572</v>
      </c>
      <c r="C50" s="5" t="s">
        <v>493</v>
      </c>
      <c r="D50" s="5" t="s">
        <v>494</v>
      </c>
      <c r="E50" s="4" t="s">
        <v>380</v>
      </c>
      <c r="F50" s="4" t="s">
        <v>380</v>
      </c>
      <c r="G50" s="4" t="s">
        <v>380</v>
      </c>
      <c r="I50" s="8" t="s">
        <v>434</v>
      </c>
    </row>
    <row r="51" spans="1:9">
      <c r="A51" s="4" t="s">
        <v>51</v>
      </c>
      <c r="B51" s="4">
        <v>3624</v>
      </c>
      <c r="I51" s="4" t="s">
        <v>386</v>
      </c>
    </row>
    <row r="52" spans="1:9">
      <c r="A52" s="4" t="s">
        <v>52</v>
      </c>
      <c r="B52" s="4">
        <v>3631</v>
      </c>
      <c r="C52" s="5" t="s">
        <v>469</v>
      </c>
      <c r="D52" s="5" t="s">
        <v>481</v>
      </c>
      <c r="F52" s="4" t="s">
        <v>380</v>
      </c>
      <c r="I52" s="4" t="s">
        <v>442</v>
      </c>
    </row>
    <row r="53" spans="1:9">
      <c r="A53" s="4" t="s">
        <v>53</v>
      </c>
      <c r="B53" s="4">
        <v>9358</v>
      </c>
      <c r="I53" s="4" t="s">
        <v>386</v>
      </c>
    </row>
    <row r="54" spans="1:9" ht="30">
      <c r="A54" s="4" t="s">
        <v>54</v>
      </c>
      <c r="B54" s="4">
        <v>182</v>
      </c>
      <c r="C54" s="5" t="s">
        <v>487</v>
      </c>
      <c r="D54" s="5" t="s">
        <v>494</v>
      </c>
      <c r="E54" s="4" t="s">
        <v>380</v>
      </c>
      <c r="F54" s="4" t="s">
        <v>380</v>
      </c>
      <c r="G54" s="4" t="s">
        <v>380</v>
      </c>
      <c r="I54" s="8" t="s">
        <v>434</v>
      </c>
    </row>
    <row r="55" spans="1:9">
      <c r="A55" s="4" t="s">
        <v>55</v>
      </c>
      <c r="B55" s="4">
        <v>3716</v>
      </c>
      <c r="C55" s="5" t="s">
        <v>466</v>
      </c>
      <c r="D55" s="5" t="s">
        <v>495</v>
      </c>
      <c r="E55" s="4" t="s">
        <v>380</v>
      </c>
    </row>
    <row r="56" spans="1:9">
      <c r="A56" s="4" t="s">
        <v>56</v>
      </c>
      <c r="B56" s="4">
        <v>3791</v>
      </c>
      <c r="C56" s="5" t="s">
        <v>469</v>
      </c>
      <c r="D56" s="5" t="s">
        <v>496</v>
      </c>
      <c r="E56" s="4" t="s">
        <v>380</v>
      </c>
      <c r="H56" s="4" t="s">
        <v>380</v>
      </c>
      <c r="I56" s="4" t="s">
        <v>497</v>
      </c>
    </row>
    <row r="57" spans="1:9">
      <c r="A57" s="4" t="s">
        <v>57</v>
      </c>
      <c r="B57" s="4">
        <v>55384</v>
      </c>
      <c r="I57" s="4" t="s">
        <v>386</v>
      </c>
    </row>
    <row r="58" spans="1:9" ht="30">
      <c r="A58" s="4" t="s">
        <v>58</v>
      </c>
      <c r="B58" s="4">
        <v>4212</v>
      </c>
      <c r="C58" s="5" t="s">
        <v>499</v>
      </c>
      <c r="D58" s="5" t="s">
        <v>500</v>
      </c>
      <c r="E58" s="4" t="s">
        <v>380</v>
      </c>
      <c r="F58" s="4" t="s">
        <v>380</v>
      </c>
      <c r="H58" s="4" t="s">
        <v>380</v>
      </c>
      <c r="I58" s="8" t="s">
        <v>522</v>
      </c>
    </row>
    <row r="59" spans="1:9">
      <c r="A59" s="4" t="s">
        <v>59</v>
      </c>
      <c r="B59" s="4">
        <v>25840</v>
      </c>
      <c r="I59" s="4" t="s">
        <v>386</v>
      </c>
    </row>
    <row r="60" spans="1:9">
      <c r="A60" s="4" t="s">
        <v>60</v>
      </c>
      <c r="B60" s="4">
        <v>4582</v>
      </c>
      <c r="C60" s="5" t="s">
        <v>501</v>
      </c>
    </row>
    <row r="61" spans="1:9">
      <c r="A61" s="4" t="s">
        <v>61</v>
      </c>
      <c r="B61" s="4">
        <v>4638</v>
      </c>
      <c r="C61" s="5" t="s">
        <v>502</v>
      </c>
      <c r="D61" s="5" t="s">
        <v>503</v>
      </c>
      <c r="E61" s="4" t="s">
        <v>380</v>
      </c>
    </row>
    <row r="62" spans="1:9" ht="30">
      <c r="A62" s="4" t="s">
        <v>62</v>
      </c>
      <c r="B62" s="4">
        <v>4854</v>
      </c>
      <c r="C62" s="5" t="s">
        <v>504</v>
      </c>
      <c r="D62" s="5" t="s">
        <v>505</v>
      </c>
      <c r="E62" s="4" t="s">
        <v>380</v>
      </c>
      <c r="F62" s="4" t="s">
        <v>380</v>
      </c>
      <c r="G62" s="4" t="s">
        <v>380</v>
      </c>
      <c r="I62" s="8" t="s">
        <v>434</v>
      </c>
    </row>
    <row r="63" spans="1:9">
      <c r="A63" s="4" t="s">
        <v>63</v>
      </c>
      <c r="B63" s="4">
        <v>51299</v>
      </c>
      <c r="I63" s="4" t="s">
        <v>386</v>
      </c>
    </row>
    <row r="64" spans="1:9" s="7" customFormat="1">
      <c r="A64" s="7" t="s">
        <v>64</v>
      </c>
      <c r="B64" s="7">
        <v>8829</v>
      </c>
      <c r="C64" s="18"/>
      <c r="D64" s="18"/>
    </row>
    <row r="65" spans="1:9">
      <c r="A65" s="4" t="s">
        <v>65</v>
      </c>
      <c r="B65" s="4">
        <v>25903</v>
      </c>
      <c r="C65" s="5" t="s">
        <v>506</v>
      </c>
      <c r="D65" s="5" t="s">
        <v>507</v>
      </c>
      <c r="E65" s="4" t="s">
        <v>380</v>
      </c>
      <c r="H65" s="4" t="s">
        <v>380</v>
      </c>
      <c r="I65" s="4" t="s">
        <v>523</v>
      </c>
    </row>
    <row r="66" spans="1:9">
      <c r="A66" s="4" t="s">
        <v>66</v>
      </c>
      <c r="B66" s="4">
        <v>5136</v>
      </c>
      <c r="C66" s="5" t="s">
        <v>508</v>
      </c>
      <c r="D66" s="5" t="s">
        <v>509</v>
      </c>
      <c r="F66" s="4" t="s">
        <v>380</v>
      </c>
      <c r="I66" s="4" t="s">
        <v>442</v>
      </c>
    </row>
    <row r="67" spans="1:9">
      <c r="A67" s="4" t="s">
        <v>67</v>
      </c>
      <c r="B67" s="4">
        <v>5159</v>
      </c>
      <c r="C67" s="5" t="s">
        <v>504</v>
      </c>
      <c r="D67" s="5" t="s">
        <v>510</v>
      </c>
      <c r="E67" s="4" t="s">
        <v>380</v>
      </c>
      <c r="I67" s="4" t="s">
        <v>521</v>
      </c>
    </row>
    <row r="68" spans="1:9">
      <c r="A68" s="4" t="s">
        <v>68</v>
      </c>
      <c r="B68" s="4">
        <v>9260</v>
      </c>
      <c r="C68" s="5" t="s">
        <v>511</v>
      </c>
      <c r="D68" s="5" t="s">
        <v>512</v>
      </c>
      <c r="E68" s="4" t="s">
        <v>380</v>
      </c>
    </row>
    <row r="69" spans="1:9">
      <c r="A69" s="4" t="s">
        <v>69</v>
      </c>
      <c r="B69" s="4">
        <v>51050</v>
      </c>
      <c r="C69" s="5" t="s">
        <v>513</v>
      </c>
      <c r="D69" s="5" t="s">
        <v>514</v>
      </c>
      <c r="F69" s="4" t="s">
        <v>380</v>
      </c>
      <c r="I69" s="4" t="s">
        <v>442</v>
      </c>
    </row>
    <row r="70" spans="1:9">
      <c r="A70" s="4" t="s">
        <v>70</v>
      </c>
      <c r="B70" s="4">
        <v>5728</v>
      </c>
      <c r="C70" s="5" t="s">
        <v>513</v>
      </c>
      <c r="D70" s="5" t="s">
        <v>515</v>
      </c>
      <c r="E70" s="4" t="s">
        <v>380</v>
      </c>
      <c r="F70" s="4" t="s">
        <v>380</v>
      </c>
      <c r="G70" s="4" t="s">
        <v>380</v>
      </c>
    </row>
    <row r="71" spans="1:9">
      <c r="A71" s="4" t="s">
        <v>71</v>
      </c>
      <c r="B71" s="4">
        <v>5743</v>
      </c>
      <c r="C71" s="5" t="s">
        <v>516</v>
      </c>
      <c r="D71" s="5" t="s">
        <v>517</v>
      </c>
      <c r="F71" s="4" t="s">
        <v>380</v>
      </c>
      <c r="I71" s="4" t="s">
        <v>442</v>
      </c>
    </row>
    <row r="72" spans="1:9">
      <c r="A72" s="4" t="s">
        <v>72</v>
      </c>
      <c r="B72" s="4">
        <v>9910</v>
      </c>
      <c r="C72" s="5" t="s">
        <v>518</v>
      </c>
      <c r="D72" s="5" t="s">
        <v>519</v>
      </c>
      <c r="G72" s="4" t="s">
        <v>380</v>
      </c>
      <c r="I72" s="4" t="s">
        <v>524</v>
      </c>
    </row>
    <row r="73" spans="1:9">
      <c r="A73" s="4" t="s">
        <v>73</v>
      </c>
      <c r="B73" s="4">
        <v>221662</v>
      </c>
      <c r="C73" s="5" t="s">
        <v>508</v>
      </c>
      <c r="D73" s="5" t="s">
        <v>525</v>
      </c>
      <c r="G73" s="4" t="s">
        <v>380</v>
      </c>
    </row>
    <row r="74" spans="1:9">
      <c r="A74" s="4" t="s">
        <v>74</v>
      </c>
      <c r="B74" s="4">
        <v>11030</v>
      </c>
      <c r="C74" s="5" t="s">
        <v>506</v>
      </c>
      <c r="D74" s="5" t="s">
        <v>526</v>
      </c>
      <c r="E74" s="4" t="s">
        <v>380</v>
      </c>
    </row>
    <row r="75" spans="1:9">
      <c r="A75" s="4" t="s">
        <v>75</v>
      </c>
      <c r="B75" s="4">
        <v>154661</v>
      </c>
      <c r="C75" s="5" t="s">
        <v>518</v>
      </c>
      <c r="D75" s="5" t="s">
        <v>519</v>
      </c>
      <c r="G75" s="4" t="s">
        <v>380</v>
      </c>
    </row>
    <row r="76" spans="1:9">
      <c r="A76" s="4" t="s">
        <v>76</v>
      </c>
      <c r="B76" s="4">
        <v>6423</v>
      </c>
      <c r="I76" s="4" t="s">
        <v>386</v>
      </c>
    </row>
    <row r="77" spans="1:9" ht="30">
      <c r="A77" s="4" t="s">
        <v>77</v>
      </c>
      <c r="B77" s="4">
        <v>6591</v>
      </c>
      <c r="C77" s="5" t="s">
        <v>518</v>
      </c>
      <c r="D77" s="5" t="s">
        <v>509</v>
      </c>
      <c r="E77" s="4" t="s">
        <v>380</v>
      </c>
      <c r="F77" s="4" t="s">
        <v>380</v>
      </c>
      <c r="G77" s="4" t="s">
        <v>380</v>
      </c>
      <c r="I77" s="8" t="s">
        <v>434</v>
      </c>
    </row>
    <row r="78" spans="1:9" ht="30">
      <c r="A78" s="4" t="s">
        <v>78</v>
      </c>
      <c r="B78" s="4">
        <v>6678</v>
      </c>
      <c r="C78" s="5" t="s">
        <v>527</v>
      </c>
      <c r="D78" s="5" t="s">
        <v>528</v>
      </c>
      <c r="E78" s="4" t="s">
        <v>380</v>
      </c>
      <c r="H78" s="4" t="s">
        <v>380</v>
      </c>
      <c r="I78" s="8" t="s">
        <v>529</v>
      </c>
    </row>
    <row r="79" spans="1:9">
      <c r="A79" s="4" t="s">
        <v>79</v>
      </c>
      <c r="B79" s="4">
        <v>6696</v>
      </c>
      <c r="C79" s="5" t="s">
        <v>518</v>
      </c>
      <c r="D79" s="5" t="s">
        <v>519</v>
      </c>
      <c r="G79" s="4" t="s">
        <v>380</v>
      </c>
    </row>
    <row r="80" spans="1:9" ht="30">
      <c r="A80" s="4" t="s">
        <v>80</v>
      </c>
      <c r="B80" s="4">
        <v>6781</v>
      </c>
      <c r="C80" s="5" t="s">
        <v>504</v>
      </c>
      <c r="D80" s="5" t="s">
        <v>530</v>
      </c>
      <c r="E80" s="4" t="s">
        <v>380</v>
      </c>
      <c r="F80" s="4" t="s">
        <v>380</v>
      </c>
      <c r="G80" s="4" t="s">
        <v>380</v>
      </c>
      <c r="I80" s="8" t="s">
        <v>434</v>
      </c>
    </row>
    <row r="81" spans="1:9">
      <c r="A81" s="4" t="s">
        <v>81</v>
      </c>
      <c r="B81" s="4">
        <v>7048</v>
      </c>
      <c r="I81" s="4" t="s">
        <v>386</v>
      </c>
    </row>
    <row r="82" spans="1:9" ht="30">
      <c r="A82" s="4" t="s">
        <v>82</v>
      </c>
      <c r="B82" s="4">
        <v>7058</v>
      </c>
      <c r="C82" s="5" t="s">
        <v>508</v>
      </c>
      <c r="D82" s="5" t="s">
        <v>531</v>
      </c>
      <c r="E82" s="4" t="s">
        <v>380</v>
      </c>
      <c r="F82" s="4" t="s">
        <v>380</v>
      </c>
      <c r="G82" s="4" t="s">
        <v>380</v>
      </c>
      <c r="I82" s="8" t="s">
        <v>434</v>
      </c>
    </row>
    <row r="83" spans="1:9">
      <c r="A83" s="4" t="s">
        <v>83</v>
      </c>
      <c r="B83" s="4">
        <v>7070</v>
      </c>
      <c r="C83" s="5" t="s">
        <v>527</v>
      </c>
      <c r="D83" s="5" t="s">
        <v>532</v>
      </c>
      <c r="E83" s="4" t="s">
        <v>380</v>
      </c>
      <c r="I83" s="4" t="s">
        <v>524</v>
      </c>
    </row>
    <row r="84" spans="1:9" ht="30">
      <c r="A84" s="4" t="s">
        <v>84</v>
      </c>
      <c r="B84" s="4">
        <v>22906</v>
      </c>
      <c r="C84" s="5" t="s">
        <v>518</v>
      </c>
      <c r="D84" s="5" t="s">
        <v>519</v>
      </c>
      <c r="E84" s="4" t="s">
        <v>380</v>
      </c>
      <c r="F84" s="4" t="s">
        <v>380</v>
      </c>
      <c r="G84" s="4" t="s">
        <v>380</v>
      </c>
      <c r="I84" s="8" t="s">
        <v>434</v>
      </c>
    </row>
    <row r="85" spans="1:9">
      <c r="A85" s="4" t="s">
        <v>85</v>
      </c>
      <c r="B85" s="4">
        <v>7291</v>
      </c>
      <c r="I85" s="4" t="s">
        <v>386</v>
      </c>
    </row>
    <row r="86" spans="1:9" ht="30">
      <c r="A86" s="4" t="s">
        <v>86</v>
      </c>
      <c r="B86" s="4">
        <v>7431</v>
      </c>
      <c r="C86" s="5" t="s">
        <v>533</v>
      </c>
      <c r="D86" s="5" t="s">
        <v>534</v>
      </c>
      <c r="E86" s="4" t="s">
        <v>380</v>
      </c>
      <c r="F86" s="4" t="s">
        <v>380</v>
      </c>
      <c r="H86" s="4" t="s">
        <v>380</v>
      </c>
      <c r="I86" s="8" t="s">
        <v>535</v>
      </c>
    </row>
    <row r="87" spans="1:9">
      <c r="A87" s="4" t="s">
        <v>87</v>
      </c>
      <c r="B87" s="4">
        <v>7481</v>
      </c>
      <c r="C87" s="5" t="s">
        <v>508</v>
      </c>
      <c r="D87" s="5" t="s">
        <v>536</v>
      </c>
      <c r="G87" s="4" t="s">
        <v>380</v>
      </c>
    </row>
    <row r="88" spans="1:9">
      <c r="A88" s="4" t="s">
        <v>88</v>
      </c>
      <c r="B88" s="4">
        <v>6935</v>
      </c>
      <c r="C88" s="5" t="s">
        <v>537</v>
      </c>
      <c r="D88" s="5" t="s">
        <v>538</v>
      </c>
      <c r="E88" s="4" t="s">
        <v>380</v>
      </c>
      <c r="I88" s="8"/>
    </row>
    <row r="89" spans="1:9">
      <c r="A89" s="4" t="s">
        <v>89</v>
      </c>
      <c r="B89" s="4">
        <v>9839</v>
      </c>
      <c r="C89" s="5" t="s">
        <v>518</v>
      </c>
      <c r="D89" s="5" t="s">
        <v>519</v>
      </c>
      <c r="G89" s="4" t="s">
        <v>380</v>
      </c>
    </row>
  </sheetData>
  <autoFilter ref="A1:I89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8"/>
  <sheetViews>
    <sheetView workbookViewId="0">
      <pane ySplit="1" topLeftCell="A225" activePane="bottomLeft" state="frozen"/>
      <selection pane="bottomLeft" activeCell="A2" sqref="A2:A248"/>
    </sheetView>
  </sheetViews>
  <sheetFormatPr defaultColWidth="9" defaultRowHeight="15"/>
  <cols>
    <col min="1" max="2" width="9" style="4"/>
    <col min="3" max="4" width="18.28515625" style="5" bestFit="1" customWidth="1"/>
    <col min="5" max="5" width="17" style="5" bestFit="1" customWidth="1"/>
    <col min="6" max="6" width="17" style="5" customWidth="1"/>
    <col min="7" max="7" width="13.28515625" style="4" bestFit="1" customWidth="1"/>
    <col min="8" max="8" width="9.5703125" style="4" bestFit="1" customWidth="1"/>
    <col min="9" max="9" width="10.7109375" style="4" bestFit="1" customWidth="1"/>
    <col min="10" max="10" width="8.42578125" style="4" bestFit="1" customWidth="1"/>
    <col min="11" max="11" width="66" style="4" bestFit="1" customWidth="1"/>
    <col min="12" max="16384" width="9" style="4"/>
  </cols>
  <sheetData>
    <row r="1" spans="1:11" s="1" customFormat="1" ht="60">
      <c r="A1" s="1" t="s">
        <v>0</v>
      </c>
      <c r="B1" s="1" t="s">
        <v>1</v>
      </c>
      <c r="C1" s="2" t="s">
        <v>392</v>
      </c>
      <c r="D1" s="2" t="s">
        <v>424</v>
      </c>
      <c r="E1" s="2" t="s">
        <v>393</v>
      </c>
      <c r="F1" s="2" t="s">
        <v>425</v>
      </c>
      <c r="G1" s="3" t="s">
        <v>378</v>
      </c>
      <c r="H1" s="3" t="s">
        <v>379</v>
      </c>
      <c r="I1" s="1" t="s">
        <v>383</v>
      </c>
      <c r="J1" s="3" t="s">
        <v>382</v>
      </c>
      <c r="K1" s="1" t="s">
        <v>549</v>
      </c>
    </row>
    <row r="2" spans="1:11">
      <c r="A2" s="4" t="s">
        <v>120</v>
      </c>
      <c r="B2" s="4">
        <v>21</v>
      </c>
      <c r="C2" s="5" t="s">
        <v>539</v>
      </c>
      <c r="D2" s="5" t="s">
        <v>540</v>
      </c>
      <c r="E2" s="5" t="s">
        <v>541</v>
      </c>
      <c r="F2" s="5" t="s">
        <v>542</v>
      </c>
      <c r="G2" s="4" t="s">
        <v>380</v>
      </c>
    </row>
    <row r="3" spans="1:11">
      <c r="A3" s="4" t="s">
        <v>121</v>
      </c>
      <c r="B3" s="4">
        <v>27034</v>
      </c>
      <c r="C3" s="5" t="s">
        <v>543</v>
      </c>
      <c r="D3" s="5" t="s">
        <v>544</v>
      </c>
      <c r="E3" s="5" t="s">
        <v>545</v>
      </c>
      <c r="F3" s="5" t="s">
        <v>546</v>
      </c>
      <c r="G3" s="4" t="s">
        <v>380</v>
      </c>
    </row>
    <row r="4" spans="1:11" ht="30">
      <c r="A4" s="4" t="s">
        <v>122</v>
      </c>
      <c r="B4" s="4">
        <v>170692</v>
      </c>
      <c r="C4" s="5" t="s">
        <v>540</v>
      </c>
      <c r="D4" s="5" t="s">
        <v>540</v>
      </c>
      <c r="E4" s="5" t="s">
        <v>547</v>
      </c>
      <c r="F4" s="5" t="s">
        <v>548</v>
      </c>
      <c r="G4" s="4" t="s">
        <v>380</v>
      </c>
      <c r="H4" s="4" t="s">
        <v>380</v>
      </c>
      <c r="I4" s="4" t="s">
        <v>380</v>
      </c>
      <c r="K4" s="8" t="s">
        <v>434</v>
      </c>
    </row>
    <row r="5" spans="1:11">
      <c r="A5" s="4" t="s">
        <v>123</v>
      </c>
      <c r="B5" s="4">
        <v>57211</v>
      </c>
      <c r="C5" s="5" t="s">
        <v>550</v>
      </c>
      <c r="D5" s="5" t="s">
        <v>551</v>
      </c>
      <c r="E5" s="5" t="s">
        <v>542</v>
      </c>
      <c r="F5" s="5" t="s">
        <v>552</v>
      </c>
      <c r="H5" s="4" t="s">
        <v>380</v>
      </c>
    </row>
    <row r="6" spans="1:11" ht="30">
      <c r="A6" s="4" t="s">
        <v>124</v>
      </c>
      <c r="B6" s="4">
        <v>79026</v>
      </c>
      <c r="C6" s="5" t="s">
        <v>544</v>
      </c>
      <c r="D6" s="5" t="s">
        <v>553</v>
      </c>
      <c r="E6" s="5" t="s">
        <v>554</v>
      </c>
      <c r="F6" s="5" t="s">
        <v>555</v>
      </c>
      <c r="G6" s="4" t="s">
        <v>380</v>
      </c>
      <c r="H6" s="4" t="s">
        <v>380</v>
      </c>
      <c r="I6" s="4" t="s">
        <v>380</v>
      </c>
      <c r="K6" s="8" t="s">
        <v>434</v>
      </c>
    </row>
    <row r="7" spans="1:11">
      <c r="A7" s="4" t="s">
        <v>125</v>
      </c>
      <c r="B7" s="4">
        <v>8644</v>
      </c>
      <c r="C7" s="5" t="s">
        <v>556</v>
      </c>
      <c r="D7" s="5" t="s">
        <v>557</v>
      </c>
      <c r="E7" s="5" t="s">
        <v>558</v>
      </c>
      <c r="F7" s="5" t="s">
        <v>558</v>
      </c>
      <c r="I7" s="4" t="s">
        <v>380</v>
      </c>
    </row>
    <row r="8" spans="1:11">
      <c r="A8" s="4" t="s">
        <v>126</v>
      </c>
      <c r="B8" s="4">
        <v>208</v>
      </c>
      <c r="C8" s="5" t="s">
        <v>540</v>
      </c>
      <c r="D8" s="5" t="s">
        <v>540</v>
      </c>
      <c r="E8" s="5" t="s">
        <v>559</v>
      </c>
      <c r="F8" s="5" t="s">
        <v>560</v>
      </c>
      <c r="I8" s="4" t="s">
        <v>380</v>
      </c>
    </row>
    <row r="9" spans="1:11">
      <c r="A9" s="4" t="s">
        <v>127</v>
      </c>
      <c r="B9" s="4">
        <v>23600</v>
      </c>
      <c r="C9" s="5" t="s">
        <v>561</v>
      </c>
      <c r="D9" s="5" t="s">
        <v>561</v>
      </c>
      <c r="E9" s="5" t="s">
        <v>562</v>
      </c>
      <c r="F9" s="5" t="s">
        <v>563</v>
      </c>
      <c r="G9" s="4" t="s">
        <v>380</v>
      </c>
      <c r="K9" s="4" t="s">
        <v>564</v>
      </c>
    </row>
    <row r="10" spans="1:11">
      <c r="A10" s="4" t="s">
        <v>128</v>
      </c>
      <c r="B10" s="4">
        <v>283</v>
      </c>
      <c r="K10" s="15" t="s">
        <v>386</v>
      </c>
    </row>
    <row r="11" spans="1:11">
      <c r="A11" s="4" t="s">
        <v>129</v>
      </c>
      <c r="B11" s="4">
        <v>285</v>
      </c>
      <c r="C11" s="5" t="s">
        <v>565</v>
      </c>
      <c r="D11" s="5" t="s">
        <v>565</v>
      </c>
      <c r="E11" s="5" t="s">
        <v>566</v>
      </c>
      <c r="F11" s="5" t="s">
        <v>566</v>
      </c>
      <c r="I11" s="4" t="s">
        <v>380</v>
      </c>
    </row>
    <row r="12" spans="1:11" ht="30">
      <c r="A12" s="4" t="s">
        <v>130</v>
      </c>
      <c r="B12" s="4">
        <v>22881</v>
      </c>
      <c r="C12" s="5" t="s">
        <v>567</v>
      </c>
      <c r="D12" s="5" t="s">
        <v>567</v>
      </c>
      <c r="E12" s="5" t="s">
        <v>568</v>
      </c>
      <c r="F12" s="5" t="s">
        <v>569</v>
      </c>
      <c r="G12" s="4" t="s">
        <v>380</v>
      </c>
      <c r="H12" s="4" t="s">
        <v>380</v>
      </c>
      <c r="I12" s="4" t="s">
        <v>380</v>
      </c>
      <c r="K12" s="8" t="s">
        <v>434</v>
      </c>
    </row>
    <row r="13" spans="1:11" ht="30">
      <c r="A13" s="4" t="s">
        <v>131</v>
      </c>
      <c r="B13" s="4">
        <v>301</v>
      </c>
      <c r="C13" s="5" t="s">
        <v>570</v>
      </c>
      <c r="D13" s="5" t="s">
        <v>571</v>
      </c>
      <c r="E13" s="5" t="s">
        <v>572</v>
      </c>
      <c r="F13" s="5" t="s">
        <v>573</v>
      </c>
      <c r="G13" s="4" t="s">
        <v>380</v>
      </c>
      <c r="K13" s="8" t="s">
        <v>630</v>
      </c>
    </row>
    <row r="14" spans="1:11">
      <c r="A14" s="4" t="s">
        <v>132</v>
      </c>
      <c r="B14" s="4">
        <v>316</v>
      </c>
      <c r="C14" s="5" t="s">
        <v>574</v>
      </c>
      <c r="D14" s="5" t="s">
        <v>574</v>
      </c>
      <c r="E14" s="5" t="s">
        <v>575</v>
      </c>
      <c r="F14" s="5" t="s">
        <v>576</v>
      </c>
      <c r="I14" s="4" t="s">
        <v>380</v>
      </c>
      <c r="K14" s="4" t="s">
        <v>577</v>
      </c>
    </row>
    <row r="15" spans="1:11" ht="30">
      <c r="A15" s="4" t="s">
        <v>133</v>
      </c>
      <c r="B15" s="4">
        <v>324</v>
      </c>
      <c r="C15" s="5" t="s">
        <v>574</v>
      </c>
      <c r="D15" s="5" t="s">
        <v>574</v>
      </c>
      <c r="E15" s="5" t="s">
        <v>578</v>
      </c>
      <c r="F15" s="5" t="s">
        <v>579</v>
      </c>
      <c r="G15" s="4" t="s">
        <v>380</v>
      </c>
      <c r="J15" s="4" t="s">
        <v>380</v>
      </c>
      <c r="K15" s="8" t="s">
        <v>595</v>
      </c>
    </row>
    <row r="16" spans="1:11">
      <c r="A16" s="4" t="s">
        <v>134</v>
      </c>
      <c r="B16" s="4">
        <v>367</v>
      </c>
      <c r="C16" s="5" t="s">
        <v>580</v>
      </c>
      <c r="D16" s="5" t="s">
        <v>581</v>
      </c>
      <c r="E16" s="5" t="s">
        <v>582</v>
      </c>
      <c r="F16" s="5" t="s">
        <v>583</v>
      </c>
      <c r="G16" s="4" t="s">
        <v>380</v>
      </c>
    </row>
    <row r="17" spans="1:11" ht="30">
      <c r="A17" s="4" t="s">
        <v>135</v>
      </c>
      <c r="B17" s="4">
        <v>54829</v>
      </c>
      <c r="C17" s="5" t="s">
        <v>567</v>
      </c>
      <c r="D17" s="5" t="s">
        <v>567</v>
      </c>
      <c r="E17" s="5" t="s">
        <v>584</v>
      </c>
      <c r="F17" s="5" t="s">
        <v>585</v>
      </c>
      <c r="G17" s="4" t="s">
        <v>380</v>
      </c>
      <c r="H17" s="4" t="s">
        <v>380</v>
      </c>
      <c r="I17" s="4" t="s">
        <v>380</v>
      </c>
      <c r="K17" s="8" t="s">
        <v>586</v>
      </c>
    </row>
    <row r="18" spans="1:11">
      <c r="A18" s="4" t="s">
        <v>136</v>
      </c>
      <c r="B18" s="4">
        <v>467</v>
      </c>
      <c r="C18" s="5" t="s">
        <v>587</v>
      </c>
      <c r="D18" s="5" t="s">
        <v>565</v>
      </c>
      <c r="E18" s="5" t="s">
        <v>588</v>
      </c>
      <c r="F18" s="5" t="s">
        <v>589</v>
      </c>
      <c r="G18" s="4" t="s">
        <v>380</v>
      </c>
    </row>
    <row r="19" spans="1:11">
      <c r="A19" s="4" t="s">
        <v>137</v>
      </c>
      <c r="B19" s="4">
        <v>26053</v>
      </c>
      <c r="C19" s="5" t="s">
        <v>590</v>
      </c>
      <c r="D19" s="5" t="s">
        <v>567</v>
      </c>
      <c r="E19" s="5" t="s">
        <v>591</v>
      </c>
      <c r="F19" s="5" t="s">
        <v>566</v>
      </c>
      <c r="G19" s="4" t="s">
        <v>380</v>
      </c>
    </row>
    <row r="20" spans="1:11" ht="30">
      <c r="A20" s="4" t="s">
        <v>138</v>
      </c>
      <c r="B20" s="4">
        <v>11041</v>
      </c>
      <c r="C20" s="5" t="s">
        <v>567</v>
      </c>
      <c r="D20" s="5" t="s">
        <v>567</v>
      </c>
      <c r="E20" s="5" t="s">
        <v>592</v>
      </c>
      <c r="F20" s="5" t="s">
        <v>566</v>
      </c>
      <c r="G20" s="4" t="s">
        <v>380</v>
      </c>
      <c r="H20" s="4" t="s">
        <v>380</v>
      </c>
      <c r="I20" s="4" t="s">
        <v>380</v>
      </c>
      <c r="K20" s="8" t="s">
        <v>586</v>
      </c>
    </row>
    <row r="21" spans="1:11" ht="30">
      <c r="A21" s="4" t="s">
        <v>139</v>
      </c>
      <c r="B21" s="4">
        <v>57673</v>
      </c>
      <c r="C21" s="5" t="s">
        <v>567</v>
      </c>
      <c r="D21" s="5" t="s">
        <v>567</v>
      </c>
      <c r="E21" s="5" t="s">
        <v>593</v>
      </c>
      <c r="F21" s="5" t="s">
        <v>589</v>
      </c>
      <c r="G21" s="4" t="s">
        <v>380</v>
      </c>
      <c r="H21" s="4" t="s">
        <v>380</v>
      </c>
      <c r="I21" s="4" t="s">
        <v>380</v>
      </c>
      <c r="K21" s="8" t="s">
        <v>586</v>
      </c>
    </row>
    <row r="22" spans="1:11" ht="30">
      <c r="A22" s="4" t="s">
        <v>140</v>
      </c>
      <c r="B22" s="4">
        <v>2186</v>
      </c>
      <c r="C22" s="5" t="s">
        <v>580</v>
      </c>
      <c r="D22" s="5" t="s">
        <v>581</v>
      </c>
      <c r="E22" s="5" t="s">
        <v>579</v>
      </c>
      <c r="F22" s="5" t="s">
        <v>594</v>
      </c>
      <c r="I22" s="4" t="s">
        <v>380</v>
      </c>
      <c r="K22" s="8" t="s">
        <v>698</v>
      </c>
    </row>
    <row r="23" spans="1:11">
      <c r="A23" s="4" t="s">
        <v>141</v>
      </c>
      <c r="B23" s="4">
        <v>80262</v>
      </c>
      <c r="C23" s="5" t="s">
        <v>587</v>
      </c>
      <c r="D23" s="5" t="s">
        <v>565</v>
      </c>
      <c r="E23" s="5" t="s">
        <v>602</v>
      </c>
      <c r="F23" s="5" t="s">
        <v>569</v>
      </c>
      <c r="G23" s="4" t="s">
        <v>380</v>
      </c>
    </row>
    <row r="24" spans="1:11" ht="30">
      <c r="A24" s="4" t="s">
        <v>142</v>
      </c>
      <c r="B24" s="4">
        <v>83608</v>
      </c>
      <c r="C24" s="5" t="s">
        <v>565</v>
      </c>
      <c r="D24" s="5" t="s">
        <v>603</v>
      </c>
      <c r="E24" s="5" t="s">
        <v>604</v>
      </c>
      <c r="F24" s="5" t="s">
        <v>604</v>
      </c>
      <c r="I24" s="4" t="s">
        <v>380</v>
      </c>
      <c r="K24" s="8" t="s">
        <v>605</v>
      </c>
    </row>
    <row r="25" spans="1:11" ht="30">
      <c r="A25" s="4" t="s">
        <v>143</v>
      </c>
      <c r="B25" s="4">
        <v>114902</v>
      </c>
      <c r="C25" s="5" t="s">
        <v>596</v>
      </c>
      <c r="D25" s="5" t="s">
        <v>596</v>
      </c>
      <c r="E25" s="5" t="s">
        <v>597</v>
      </c>
      <c r="F25" s="5" t="s">
        <v>598</v>
      </c>
      <c r="H25" s="4" t="s">
        <v>380</v>
      </c>
      <c r="J25" s="4" t="s">
        <v>380</v>
      </c>
      <c r="K25" s="8" t="s">
        <v>599</v>
      </c>
    </row>
    <row r="26" spans="1:11">
      <c r="A26" s="4" t="s">
        <v>144</v>
      </c>
      <c r="B26" s="4">
        <v>221545</v>
      </c>
      <c r="C26" s="5" t="s">
        <v>565</v>
      </c>
      <c r="D26" s="5" t="s">
        <v>565</v>
      </c>
      <c r="E26" s="5" t="s">
        <v>600</v>
      </c>
      <c r="F26" s="5" t="s">
        <v>566</v>
      </c>
      <c r="I26" s="4" t="s">
        <v>380</v>
      </c>
    </row>
    <row r="27" spans="1:11" ht="30">
      <c r="A27" s="4" t="s">
        <v>145</v>
      </c>
      <c r="B27" s="4">
        <v>401546</v>
      </c>
      <c r="C27" s="5" t="s">
        <v>565</v>
      </c>
      <c r="D27" s="5" t="s">
        <v>601</v>
      </c>
      <c r="E27" s="5" t="s">
        <v>579</v>
      </c>
      <c r="F27" s="5" t="s">
        <v>594</v>
      </c>
      <c r="I27" s="4" t="s">
        <v>380</v>
      </c>
      <c r="K27" s="8" t="s">
        <v>434</v>
      </c>
    </row>
    <row r="28" spans="1:11">
      <c r="A28" s="4" t="s">
        <v>146</v>
      </c>
      <c r="B28" s="4">
        <v>27092</v>
      </c>
      <c r="C28" s="5" t="s">
        <v>565</v>
      </c>
      <c r="D28" s="5" t="s">
        <v>565</v>
      </c>
      <c r="E28" s="5" t="s">
        <v>566</v>
      </c>
      <c r="F28" s="5" t="s">
        <v>566</v>
      </c>
      <c r="I28" s="4" t="s">
        <v>380</v>
      </c>
    </row>
    <row r="29" spans="1:11" ht="30">
      <c r="A29" s="4" t="s">
        <v>147</v>
      </c>
      <c r="B29" s="4">
        <v>808</v>
      </c>
      <c r="C29" s="5" t="s">
        <v>596</v>
      </c>
      <c r="D29" s="5" t="s">
        <v>596</v>
      </c>
      <c r="E29" s="5" t="s">
        <v>606</v>
      </c>
      <c r="F29" s="5" t="s">
        <v>600</v>
      </c>
      <c r="I29" s="4" t="s">
        <v>380</v>
      </c>
      <c r="K29" s="8" t="s">
        <v>605</v>
      </c>
    </row>
    <row r="30" spans="1:11">
      <c r="A30" s="4" t="s">
        <v>148</v>
      </c>
      <c r="B30" s="4">
        <v>55450</v>
      </c>
      <c r="C30" s="5" t="s">
        <v>567</v>
      </c>
      <c r="D30" s="5" t="s">
        <v>590</v>
      </c>
      <c r="E30" s="5" t="s">
        <v>579</v>
      </c>
      <c r="F30" s="5" t="s">
        <v>578</v>
      </c>
      <c r="H30" s="4" t="s">
        <v>380</v>
      </c>
    </row>
    <row r="31" spans="1:11">
      <c r="A31" s="4" t="s">
        <v>149</v>
      </c>
      <c r="B31" s="4">
        <v>726</v>
      </c>
      <c r="C31" s="5" t="s">
        <v>587</v>
      </c>
      <c r="D31" s="5" t="s">
        <v>565</v>
      </c>
      <c r="E31" s="5" t="s">
        <v>589</v>
      </c>
      <c r="F31" s="5" t="s">
        <v>589</v>
      </c>
      <c r="I31" s="4" t="s">
        <v>607</v>
      </c>
    </row>
    <row r="32" spans="1:11">
      <c r="A32" s="4" t="s">
        <v>150</v>
      </c>
      <c r="B32" s="4">
        <v>827</v>
      </c>
      <c r="K32" s="4" t="s">
        <v>608</v>
      </c>
    </row>
    <row r="33" spans="1:11">
      <c r="A33" s="4" t="s">
        <v>151</v>
      </c>
      <c r="B33" s="4">
        <v>9994</v>
      </c>
      <c r="K33" s="4" t="s">
        <v>608</v>
      </c>
    </row>
    <row r="34" spans="1:11">
      <c r="A34" s="4" t="s">
        <v>152</v>
      </c>
      <c r="B34" s="4">
        <v>847</v>
      </c>
      <c r="C34" s="5" t="s">
        <v>609</v>
      </c>
      <c r="D34" s="5" t="s">
        <v>610</v>
      </c>
      <c r="E34" s="5" t="s">
        <v>611</v>
      </c>
      <c r="F34" s="5" t="s">
        <v>612</v>
      </c>
      <c r="G34" s="4" t="s">
        <v>607</v>
      </c>
    </row>
    <row r="35" spans="1:11">
      <c r="A35" s="4" t="s">
        <v>153</v>
      </c>
      <c r="B35" s="4">
        <v>868</v>
      </c>
      <c r="C35" s="5" t="s">
        <v>613</v>
      </c>
      <c r="D35" s="5" t="s">
        <v>613</v>
      </c>
      <c r="E35" s="5" t="s">
        <v>614</v>
      </c>
      <c r="F35" s="5" t="s">
        <v>615</v>
      </c>
      <c r="G35" s="4" t="s">
        <v>607</v>
      </c>
    </row>
    <row r="36" spans="1:11" ht="30">
      <c r="A36" s="4" t="s">
        <v>154</v>
      </c>
      <c r="B36" s="4">
        <v>83987</v>
      </c>
      <c r="C36" s="5" t="s">
        <v>616</v>
      </c>
      <c r="D36" s="5" t="s">
        <v>616</v>
      </c>
      <c r="E36" s="5" t="s">
        <v>617</v>
      </c>
      <c r="F36" s="5" t="s">
        <v>618</v>
      </c>
      <c r="G36" s="4" t="s">
        <v>607</v>
      </c>
      <c r="H36" s="4" t="s">
        <v>607</v>
      </c>
      <c r="I36" s="4" t="s">
        <v>607</v>
      </c>
      <c r="K36" s="8" t="s">
        <v>434</v>
      </c>
    </row>
    <row r="37" spans="1:11">
      <c r="A37" s="4" t="s">
        <v>155</v>
      </c>
      <c r="B37" s="4">
        <v>890</v>
      </c>
      <c r="C37" s="5" t="s">
        <v>619</v>
      </c>
      <c r="D37" s="5" t="s">
        <v>619</v>
      </c>
      <c r="E37" s="5" t="s">
        <v>620</v>
      </c>
      <c r="F37" s="5" t="s">
        <v>620</v>
      </c>
      <c r="I37" s="4" t="s">
        <v>607</v>
      </c>
    </row>
    <row r="38" spans="1:11" ht="30">
      <c r="A38" s="4" t="s">
        <v>156</v>
      </c>
      <c r="B38" s="4">
        <v>9133</v>
      </c>
      <c r="C38" s="5" t="s">
        <v>616</v>
      </c>
      <c r="D38" s="5" t="s">
        <v>616</v>
      </c>
      <c r="E38" s="5" t="s">
        <v>621</v>
      </c>
      <c r="F38" s="5" t="s">
        <v>618</v>
      </c>
      <c r="G38" s="4" t="s">
        <v>607</v>
      </c>
      <c r="H38" s="4" t="s">
        <v>607</v>
      </c>
      <c r="I38" s="4" t="s">
        <v>607</v>
      </c>
      <c r="K38" s="8" t="s">
        <v>586</v>
      </c>
    </row>
    <row r="39" spans="1:11" ht="30">
      <c r="A39" s="4" t="s">
        <v>157</v>
      </c>
      <c r="B39" s="4">
        <v>898</v>
      </c>
      <c r="C39" s="5" t="s">
        <v>622</v>
      </c>
      <c r="D39" s="5" t="s">
        <v>623</v>
      </c>
      <c r="E39" s="5" t="s">
        <v>624</v>
      </c>
      <c r="F39" s="5" t="s">
        <v>625</v>
      </c>
      <c r="G39" s="4" t="s">
        <v>607</v>
      </c>
      <c r="H39" s="4" t="s">
        <v>607</v>
      </c>
      <c r="I39" s="4" t="s">
        <v>607</v>
      </c>
      <c r="K39" s="8" t="s">
        <v>714</v>
      </c>
    </row>
    <row r="40" spans="1:11">
      <c r="A40" s="4" t="s">
        <v>158</v>
      </c>
      <c r="B40" s="4">
        <v>9134</v>
      </c>
      <c r="C40" s="5" t="s">
        <v>626</v>
      </c>
      <c r="D40" s="5" t="s">
        <v>616</v>
      </c>
      <c r="E40" s="5" t="s">
        <v>627</v>
      </c>
      <c r="F40" s="5" t="s">
        <v>615</v>
      </c>
      <c r="G40" s="4" t="s">
        <v>607</v>
      </c>
    </row>
    <row r="41" spans="1:11">
      <c r="A41" s="4" t="s">
        <v>159</v>
      </c>
      <c r="B41" s="4">
        <v>100129961</v>
      </c>
      <c r="K41" s="4" t="s">
        <v>386</v>
      </c>
    </row>
    <row r="42" spans="1:11">
      <c r="A42" s="4" t="s">
        <v>160</v>
      </c>
      <c r="B42" s="4">
        <v>983</v>
      </c>
      <c r="C42" s="5" t="s">
        <v>616</v>
      </c>
      <c r="D42" s="5" t="s">
        <v>616</v>
      </c>
      <c r="E42" s="5" t="s">
        <v>628</v>
      </c>
      <c r="F42" s="5" t="s">
        <v>629</v>
      </c>
      <c r="I42" s="4" t="s">
        <v>607</v>
      </c>
      <c r="K42" s="4" t="s">
        <v>631</v>
      </c>
    </row>
    <row r="43" spans="1:11">
      <c r="A43" s="4" t="s">
        <v>161</v>
      </c>
      <c r="B43" s="4">
        <v>1019</v>
      </c>
      <c r="C43" s="5" t="s">
        <v>619</v>
      </c>
      <c r="D43" s="5" t="s">
        <v>619</v>
      </c>
      <c r="E43" s="5" t="s">
        <v>632</v>
      </c>
      <c r="F43" s="5" t="s">
        <v>620</v>
      </c>
      <c r="I43" s="4" t="s">
        <v>607</v>
      </c>
      <c r="K43" s="4" t="s">
        <v>631</v>
      </c>
    </row>
    <row r="44" spans="1:11">
      <c r="A44" s="4" t="s">
        <v>162</v>
      </c>
      <c r="B44" s="4">
        <v>1027</v>
      </c>
      <c r="C44" s="5" t="s">
        <v>633</v>
      </c>
      <c r="D44" s="5" t="s">
        <v>633</v>
      </c>
      <c r="E44" s="5" t="s">
        <v>634</v>
      </c>
      <c r="F44" s="5" t="s">
        <v>635</v>
      </c>
      <c r="G44" s="4" t="s">
        <v>607</v>
      </c>
    </row>
    <row r="45" spans="1:11" ht="30">
      <c r="A45" s="4" t="s">
        <v>163</v>
      </c>
      <c r="B45" s="4">
        <v>1029</v>
      </c>
      <c r="C45" s="5" t="s">
        <v>636</v>
      </c>
      <c r="D45" s="5" t="s">
        <v>636</v>
      </c>
      <c r="E45" s="5" t="s">
        <v>638</v>
      </c>
      <c r="F45" s="5" t="s">
        <v>639</v>
      </c>
      <c r="G45" s="4" t="s">
        <v>607</v>
      </c>
      <c r="J45" s="4" t="s">
        <v>607</v>
      </c>
      <c r="K45" s="8" t="s">
        <v>640</v>
      </c>
    </row>
    <row r="46" spans="1:11">
      <c r="A46" s="4" t="s">
        <v>164</v>
      </c>
      <c r="B46" s="4">
        <v>1063</v>
      </c>
      <c r="C46" s="5" t="s">
        <v>613</v>
      </c>
      <c r="D46" s="5" t="s">
        <v>613</v>
      </c>
      <c r="E46" s="5" t="s">
        <v>641</v>
      </c>
      <c r="F46" s="5" t="s">
        <v>641</v>
      </c>
      <c r="I46" s="4" t="s">
        <v>607</v>
      </c>
    </row>
    <row r="47" spans="1:11">
      <c r="A47" s="4" t="s">
        <v>165</v>
      </c>
      <c r="B47" s="4">
        <v>22995</v>
      </c>
      <c r="C47" s="5" t="s">
        <v>642</v>
      </c>
      <c r="D47" s="5" t="s">
        <v>633</v>
      </c>
      <c r="E47" s="5" t="s">
        <v>643</v>
      </c>
      <c r="F47" s="5" t="s">
        <v>643</v>
      </c>
      <c r="I47" s="4" t="s">
        <v>607</v>
      </c>
    </row>
    <row r="48" spans="1:11" ht="30">
      <c r="A48" s="4" t="s">
        <v>166</v>
      </c>
      <c r="B48" s="4">
        <v>22897</v>
      </c>
      <c r="C48" s="5" t="s">
        <v>622</v>
      </c>
      <c r="D48" s="5" t="s">
        <v>644</v>
      </c>
      <c r="E48" s="5" t="s">
        <v>645</v>
      </c>
      <c r="F48" s="5" t="s">
        <v>615</v>
      </c>
      <c r="I48" s="4" t="s">
        <v>607</v>
      </c>
      <c r="K48" s="8" t="s">
        <v>605</v>
      </c>
    </row>
    <row r="49" spans="1:11">
      <c r="A49" s="4" t="s">
        <v>167</v>
      </c>
      <c r="B49" s="4">
        <v>11190</v>
      </c>
      <c r="K49" s="4" t="s">
        <v>386</v>
      </c>
    </row>
    <row r="50" spans="1:11" ht="30">
      <c r="A50" s="4" t="s">
        <v>168</v>
      </c>
      <c r="B50" s="4">
        <v>55997</v>
      </c>
      <c r="C50" s="5" t="s">
        <v>646</v>
      </c>
      <c r="D50" s="5" t="s">
        <v>646</v>
      </c>
      <c r="E50" s="5" t="s">
        <v>632</v>
      </c>
      <c r="F50" s="5" t="s">
        <v>620</v>
      </c>
      <c r="I50" s="4" t="s">
        <v>607</v>
      </c>
      <c r="K50" s="8" t="s">
        <v>647</v>
      </c>
    </row>
    <row r="51" spans="1:11">
      <c r="A51" s="4" t="s">
        <v>169</v>
      </c>
      <c r="B51" s="4">
        <v>1105</v>
      </c>
      <c r="C51" s="5" t="s">
        <v>616</v>
      </c>
      <c r="D51" s="5" t="s">
        <v>616</v>
      </c>
      <c r="E51" s="5" t="s">
        <v>648</v>
      </c>
      <c r="F51" s="5" t="s">
        <v>620</v>
      </c>
      <c r="I51" s="4" t="s">
        <v>607</v>
      </c>
    </row>
    <row r="52" spans="1:11" ht="30">
      <c r="A52" s="4" t="s">
        <v>170</v>
      </c>
      <c r="B52" s="4">
        <v>1154</v>
      </c>
      <c r="C52" s="5" t="s">
        <v>649</v>
      </c>
      <c r="D52" s="5" t="s">
        <v>637</v>
      </c>
      <c r="E52" s="5" t="s">
        <v>650</v>
      </c>
      <c r="F52" s="5" t="s">
        <v>651</v>
      </c>
      <c r="G52" s="4" t="s">
        <v>607</v>
      </c>
      <c r="H52" s="4" t="s">
        <v>607</v>
      </c>
      <c r="I52" s="4" t="s">
        <v>607</v>
      </c>
      <c r="K52" s="8" t="s">
        <v>714</v>
      </c>
    </row>
    <row r="53" spans="1:11">
      <c r="A53" s="4" t="s">
        <v>171</v>
      </c>
      <c r="B53" s="4">
        <v>113540</v>
      </c>
      <c r="C53" s="5" t="s">
        <v>626</v>
      </c>
      <c r="D53" s="5" t="s">
        <v>616</v>
      </c>
      <c r="E53" s="5" t="s">
        <v>652</v>
      </c>
      <c r="F53" s="5" t="s">
        <v>653</v>
      </c>
      <c r="G53" s="4" t="s">
        <v>607</v>
      </c>
    </row>
    <row r="54" spans="1:11" ht="30">
      <c r="A54" s="4" t="s">
        <v>172</v>
      </c>
      <c r="B54" s="4">
        <v>1277</v>
      </c>
      <c r="C54" s="5" t="s">
        <v>613</v>
      </c>
      <c r="D54" s="5" t="s">
        <v>654</v>
      </c>
      <c r="E54" s="5" t="s">
        <v>655</v>
      </c>
      <c r="F54" s="5" t="s">
        <v>655</v>
      </c>
      <c r="G54" s="4" t="s">
        <v>607</v>
      </c>
      <c r="H54" s="4" t="s">
        <v>607</v>
      </c>
      <c r="I54" s="4" t="s">
        <v>607</v>
      </c>
      <c r="K54" s="8" t="s">
        <v>605</v>
      </c>
    </row>
    <row r="55" spans="1:11">
      <c r="A55" s="4" t="s">
        <v>173</v>
      </c>
      <c r="B55" s="4">
        <v>1289</v>
      </c>
      <c r="C55" s="5" t="s">
        <v>616</v>
      </c>
      <c r="D55" s="5" t="s">
        <v>616</v>
      </c>
      <c r="E55" s="5" t="s">
        <v>656</v>
      </c>
      <c r="F55" s="5" t="s">
        <v>657</v>
      </c>
      <c r="I55" s="4" t="s">
        <v>607</v>
      </c>
    </row>
    <row r="56" spans="1:11">
      <c r="A56" s="4" t="s">
        <v>174</v>
      </c>
      <c r="B56" s="4">
        <v>22849</v>
      </c>
      <c r="K56" s="4" t="s">
        <v>386</v>
      </c>
    </row>
    <row r="57" spans="1:11">
      <c r="A57" s="4" t="s">
        <v>175</v>
      </c>
      <c r="B57" s="4">
        <v>54973</v>
      </c>
      <c r="C57" s="5" t="s">
        <v>633</v>
      </c>
      <c r="D57" s="5" t="s">
        <v>646</v>
      </c>
      <c r="E57" s="5" t="s">
        <v>658</v>
      </c>
      <c r="F57" s="5" t="s">
        <v>659</v>
      </c>
      <c r="G57" s="4" t="s">
        <v>607</v>
      </c>
    </row>
    <row r="58" spans="1:11">
      <c r="A58" s="4" t="s">
        <v>176</v>
      </c>
      <c r="B58" s="4">
        <v>8722</v>
      </c>
      <c r="C58" s="5" t="s">
        <v>654</v>
      </c>
      <c r="D58" s="5" t="s">
        <v>613</v>
      </c>
      <c r="E58" s="5" t="s">
        <v>660</v>
      </c>
      <c r="F58" s="5" t="s">
        <v>618</v>
      </c>
      <c r="G58" s="4" t="s">
        <v>607</v>
      </c>
    </row>
    <row r="59" spans="1:11" ht="30">
      <c r="A59" s="4" t="s">
        <v>177</v>
      </c>
      <c r="B59" s="4">
        <v>6376</v>
      </c>
      <c r="C59" s="5" t="s">
        <v>646</v>
      </c>
      <c r="D59" s="5" t="s">
        <v>646</v>
      </c>
      <c r="E59" s="5" t="s">
        <v>652</v>
      </c>
      <c r="F59" s="5" t="s">
        <v>661</v>
      </c>
      <c r="G59" s="4" t="s">
        <v>607</v>
      </c>
      <c r="J59" s="4" t="s">
        <v>607</v>
      </c>
      <c r="K59" s="8" t="s">
        <v>595</v>
      </c>
    </row>
    <row r="60" spans="1:11">
      <c r="A60" s="4" t="s">
        <v>178</v>
      </c>
      <c r="B60" s="4">
        <v>1586</v>
      </c>
      <c r="C60" s="5" t="s">
        <v>613</v>
      </c>
      <c r="D60" s="5" t="s">
        <v>613</v>
      </c>
      <c r="E60" s="5" t="s">
        <v>648</v>
      </c>
      <c r="F60" s="5" t="s">
        <v>620</v>
      </c>
      <c r="I60" s="4" t="s">
        <v>607</v>
      </c>
    </row>
    <row r="61" spans="1:11" ht="30">
      <c r="A61" s="4" t="s">
        <v>179</v>
      </c>
      <c r="B61" s="4">
        <v>1588</v>
      </c>
      <c r="C61" s="5" t="s">
        <v>662</v>
      </c>
      <c r="D61" s="5" t="s">
        <v>637</v>
      </c>
      <c r="E61" s="5" t="s">
        <v>663</v>
      </c>
      <c r="F61" s="5" t="s">
        <v>664</v>
      </c>
      <c r="G61" s="4" t="s">
        <v>607</v>
      </c>
      <c r="K61" s="8" t="s">
        <v>640</v>
      </c>
    </row>
    <row r="62" spans="1:11">
      <c r="A62" s="4" t="s">
        <v>180</v>
      </c>
      <c r="B62" s="4">
        <v>1576</v>
      </c>
      <c r="C62" s="5" t="s">
        <v>616</v>
      </c>
      <c r="D62" s="5" t="s">
        <v>616</v>
      </c>
      <c r="E62" s="5" t="s">
        <v>618</v>
      </c>
      <c r="F62" s="5" t="s">
        <v>618</v>
      </c>
      <c r="I62" s="4" t="s">
        <v>607</v>
      </c>
    </row>
    <row r="63" spans="1:11">
      <c r="A63" s="4" t="s">
        <v>181</v>
      </c>
      <c r="B63" s="4">
        <v>9681</v>
      </c>
      <c r="C63" s="5" t="s">
        <v>665</v>
      </c>
      <c r="D63" s="5" t="s">
        <v>616</v>
      </c>
      <c r="E63" s="5" t="s">
        <v>666</v>
      </c>
      <c r="F63" s="5" t="s">
        <v>620</v>
      </c>
      <c r="G63" s="4" t="s">
        <v>607</v>
      </c>
    </row>
    <row r="64" spans="1:11" ht="30">
      <c r="A64" s="4" t="s">
        <v>182</v>
      </c>
      <c r="B64" s="4">
        <v>54487</v>
      </c>
      <c r="C64" s="5" t="s">
        <v>667</v>
      </c>
      <c r="D64" s="5" t="s">
        <v>668</v>
      </c>
      <c r="E64" s="5" t="s">
        <v>669</v>
      </c>
      <c r="F64" s="5" t="s">
        <v>670</v>
      </c>
      <c r="H64" s="4" t="s">
        <v>607</v>
      </c>
      <c r="J64" s="4" t="s">
        <v>607</v>
      </c>
      <c r="K64" s="8" t="s">
        <v>671</v>
      </c>
    </row>
    <row r="65" spans="1:11">
      <c r="A65" s="4" t="s">
        <v>183</v>
      </c>
      <c r="B65" s="4">
        <v>1717</v>
      </c>
      <c r="C65" s="5" t="s">
        <v>668</v>
      </c>
      <c r="D65" s="5" t="s">
        <v>667</v>
      </c>
      <c r="E65" s="5" t="s">
        <v>672</v>
      </c>
      <c r="F65" s="5" t="s">
        <v>673</v>
      </c>
      <c r="G65" s="4" t="s">
        <v>607</v>
      </c>
    </row>
    <row r="66" spans="1:11" ht="30">
      <c r="A66" s="4" t="s">
        <v>184</v>
      </c>
      <c r="B66" s="4">
        <v>129563</v>
      </c>
      <c r="C66" s="5" t="s">
        <v>674</v>
      </c>
      <c r="D66" s="5" t="s">
        <v>675</v>
      </c>
      <c r="E66" s="5" t="s">
        <v>670</v>
      </c>
      <c r="F66" s="5" t="s">
        <v>676</v>
      </c>
      <c r="G66" s="4" t="s">
        <v>607</v>
      </c>
      <c r="H66" s="4" t="s">
        <v>607</v>
      </c>
      <c r="I66" s="4" t="s">
        <v>607</v>
      </c>
      <c r="K66" s="8" t="s">
        <v>434</v>
      </c>
    </row>
    <row r="67" spans="1:11">
      <c r="A67" s="4" t="s">
        <v>185</v>
      </c>
      <c r="B67" s="4">
        <v>8632</v>
      </c>
      <c r="C67" s="5" t="s">
        <v>667</v>
      </c>
      <c r="D67" s="5" t="s">
        <v>667</v>
      </c>
      <c r="E67" s="5" t="s">
        <v>673</v>
      </c>
      <c r="F67" s="5" t="s">
        <v>673</v>
      </c>
      <c r="I67" s="4" t="s">
        <v>607</v>
      </c>
    </row>
    <row r="68" spans="1:11">
      <c r="A68" s="4" t="s">
        <v>186</v>
      </c>
      <c r="B68" s="4">
        <v>1769</v>
      </c>
      <c r="C68" s="5" t="s">
        <v>677</v>
      </c>
      <c r="D68" s="5" t="s">
        <v>675</v>
      </c>
      <c r="E68" s="5" t="s">
        <v>678</v>
      </c>
      <c r="F68" s="5" t="s">
        <v>679</v>
      </c>
      <c r="G68" s="4" t="s">
        <v>607</v>
      </c>
    </row>
    <row r="69" spans="1:11">
      <c r="A69" s="4" t="s">
        <v>187</v>
      </c>
      <c r="B69" s="4">
        <v>1786</v>
      </c>
      <c r="C69" s="5" t="s">
        <v>675</v>
      </c>
      <c r="D69" s="5" t="s">
        <v>675</v>
      </c>
      <c r="E69" s="5" t="s">
        <v>680</v>
      </c>
      <c r="F69" s="5" t="s">
        <v>680</v>
      </c>
      <c r="I69" s="4" t="s">
        <v>607</v>
      </c>
    </row>
    <row r="70" spans="1:11">
      <c r="A70" s="4" t="s">
        <v>188</v>
      </c>
      <c r="B70" s="4">
        <v>1815</v>
      </c>
      <c r="K70" s="4" t="s">
        <v>386</v>
      </c>
    </row>
    <row r="71" spans="1:11">
      <c r="A71" s="4" t="s">
        <v>189</v>
      </c>
      <c r="B71" s="4">
        <v>1855</v>
      </c>
      <c r="C71" s="5" t="s">
        <v>681</v>
      </c>
      <c r="D71" s="5" t="s">
        <v>682</v>
      </c>
      <c r="E71" s="5" t="s">
        <v>683</v>
      </c>
      <c r="F71" s="5" t="s">
        <v>684</v>
      </c>
      <c r="G71" s="4" t="s">
        <v>607</v>
      </c>
    </row>
    <row r="72" spans="1:11" ht="30">
      <c r="A72" s="4" t="s">
        <v>190</v>
      </c>
      <c r="B72" s="4">
        <v>1856</v>
      </c>
      <c r="C72" s="5" t="s">
        <v>685</v>
      </c>
      <c r="D72" s="5" t="s">
        <v>685</v>
      </c>
      <c r="E72" s="5" t="s">
        <v>686</v>
      </c>
      <c r="F72" s="5" t="s">
        <v>687</v>
      </c>
      <c r="G72" s="4" t="s">
        <v>607</v>
      </c>
      <c r="H72" s="4" t="s">
        <v>607</v>
      </c>
      <c r="I72" s="4" t="s">
        <v>607</v>
      </c>
      <c r="K72" s="8" t="s">
        <v>688</v>
      </c>
    </row>
    <row r="73" spans="1:11" ht="30">
      <c r="A73" s="4" t="s">
        <v>191</v>
      </c>
      <c r="B73" s="4">
        <v>8798</v>
      </c>
      <c r="C73" s="5" t="s">
        <v>682</v>
      </c>
      <c r="D73" s="5" t="s">
        <v>689</v>
      </c>
      <c r="E73" s="5" t="s">
        <v>690</v>
      </c>
      <c r="F73" s="5" t="s">
        <v>680</v>
      </c>
      <c r="G73" s="4" t="s">
        <v>607</v>
      </c>
      <c r="H73" s="4" t="s">
        <v>607</v>
      </c>
      <c r="I73" s="4" t="s">
        <v>607</v>
      </c>
      <c r="K73" s="8" t="s">
        <v>688</v>
      </c>
    </row>
    <row r="74" spans="1:11">
      <c r="A74" s="4" t="s">
        <v>192</v>
      </c>
      <c r="B74" s="4">
        <v>1632</v>
      </c>
      <c r="C74" s="5" t="s">
        <v>674</v>
      </c>
      <c r="D74" s="5" t="s">
        <v>675</v>
      </c>
      <c r="E74" s="5" t="s">
        <v>691</v>
      </c>
      <c r="F74" s="5" t="s">
        <v>692</v>
      </c>
      <c r="G74" s="4" t="s">
        <v>607</v>
      </c>
    </row>
    <row r="75" spans="1:11">
      <c r="A75" s="4" t="s">
        <v>193</v>
      </c>
      <c r="B75" s="4">
        <v>1945</v>
      </c>
      <c r="C75" s="5" t="s">
        <v>693</v>
      </c>
      <c r="D75" s="5" t="s">
        <v>693</v>
      </c>
      <c r="E75" s="5" t="s">
        <v>692</v>
      </c>
      <c r="F75" s="5" t="s">
        <v>694</v>
      </c>
      <c r="I75" s="4" t="s">
        <v>607</v>
      </c>
    </row>
    <row r="76" spans="1:11" ht="30">
      <c r="A76" s="4" t="s">
        <v>194</v>
      </c>
      <c r="B76" s="4">
        <v>9538</v>
      </c>
      <c r="C76" s="5" t="s">
        <v>696</v>
      </c>
      <c r="D76" s="5" t="s">
        <v>695</v>
      </c>
      <c r="E76" s="5" t="s">
        <v>697</v>
      </c>
      <c r="F76" s="5" t="s">
        <v>690</v>
      </c>
      <c r="G76" s="4" t="s">
        <v>607</v>
      </c>
      <c r="H76" s="4" t="s">
        <v>607</v>
      </c>
      <c r="I76" s="4" t="s">
        <v>607</v>
      </c>
      <c r="K76" s="8" t="s">
        <v>699</v>
      </c>
    </row>
    <row r="77" spans="1:11">
      <c r="A77" s="4" t="s">
        <v>195</v>
      </c>
      <c r="B77" s="4">
        <v>84173</v>
      </c>
      <c r="C77" s="5" t="s">
        <v>693</v>
      </c>
      <c r="D77" s="5" t="s">
        <v>700</v>
      </c>
      <c r="E77" s="5" t="s">
        <v>673</v>
      </c>
      <c r="F77" s="5" t="s">
        <v>701</v>
      </c>
      <c r="H77" s="4" t="s">
        <v>607</v>
      </c>
    </row>
    <row r="78" spans="1:11" ht="30">
      <c r="A78" s="4" t="s">
        <v>196</v>
      </c>
      <c r="B78" s="4">
        <v>2013</v>
      </c>
      <c r="C78" s="5" t="s">
        <v>702</v>
      </c>
      <c r="D78" s="5" t="s">
        <v>703</v>
      </c>
      <c r="E78" s="5" t="s">
        <v>704</v>
      </c>
      <c r="F78" s="5" t="s">
        <v>705</v>
      </c>
      <c r="G78" s="4" t="s">
        <v>607</v>
      </c>
      <c r="H78" s="4" t="s">
        <v>607</v>
      </c>
      <c r="I78" s="4" t="s">
        <v>607</v>
      </c>
      <c r="K78" s="8" t="s">
        <v>647</v>
      </c>
    </row>
    <row r="79" spans="1:11">
      <c r="A79" s="4" t="s">
        <v>197</v>
      </c>
      <c r="B79" s="4">
        <v>2053</v>
      </c>
      <c r="C79" s="5" t="s">
        <v>706</v>
      </c>
      <c r="D79" s="5" t="s">
        <v>707</v>
      </c>
      <c r="E79" s="5" t="s">
        <v>708</v>
      </c>
      <c r="F79" s="5" t="s">
        <v>709</v>
      </c>
      <c r="G79" s="4" t="s">
        <v>607</v>
      </c>
    </row>
    <row r="80" spans="1:11" ht="30">
      <c r="A80" s="4" t="s">
        <v>198</v>
      </c>
      <c r="B80" s="4">
        <v>2064</v>
      </c>
      <c r="C80" s="5" t="s">
        <v>710</v>
      </c>
      <c r="D80" s="5" t="s">
        <v>711</v>
      </c>
      <c r="E80" s="5" t="s">
        <v>712</v>
      </c>
      <c r="F80" s="5" t="s">
        <v>713</v>
      </c>
      <c r="G80" s="4" t="s">
        <v>607</v>
      </c>
      <c r="H80" s="4" t="s">
        <v>607</v>
      </c>
      <c r="I80" s="4" t="s">
        <v>607</v>
      </c>
      <c r="K80" s="8" t="s">
        <v>715</v>
      </c>
    </row>
    <row r="81" spans="1:11">
      <c r="A81" s="4" t="s">
        <v>199</v>
      </c>
      <c r="B81" s="4">
        <v>203111</v>
      </c>
      <c r="C81" s="5" t="s">
        <v>716</v>
      </c>
      <c r="D81" s="5" t="s">
        <v>716</v>
      </c>
      <c r="E81" s="5" t="s">
        <v>717</v>
      </c>
      <c r="F81" s="5" t="s">
        <v>718</v>
      </c>
      <c r="I81" s="4" t="s">
        <v>607</v>
      </c>
    </row>
    <row r="82" spans="1:11" ht="30">
      <c r="A82" s="4" t="s">
        <v>200</v>
      </c>
      <c r="B82" s="4">
        <v>2146</v>
      </c>
      <c r="C82" s="5" t="s">
        <v>719</v>
      </c>
      <c r="D82" s="5" t="s">
        <v>719</v>
      </c>
      <c r="E82" s="5" t="s">
        <v>720</v>
      </c>
      <c r="F82" s="5" t="s">
        <v>721</v>
      </c>
      <c r="G82" s="4" t="s">
        <v>607</v>
      </c>
      <c r="J82" s="4" t="s">
        <v>607</v>
      </c>
      <c r="K82" s="8" t="s">
        <v>731</v>
      </c>
    </row>
    <row r="83" spans="1:11">
      <c r="A83" s="4" t="s">
        <v>201</v>
      </c>
      <c r="B83" s="4">
        <v>2152</v>
      </c>
      <c r="C83" s="5" t="s">
        <v>722</v>
      </c>
      <c r="D83" s="5" t="s">
        <v>719</v>
      </c>
      <c r="E83" s="5" t="s">
        <v>723</v>
      </c>
      <c r="F83" s="5" t="s">
        <v>721</v>
      </c>
      <c r="G83" s="4" t="s">
        <v>607</v>
      </c>
    </row>
    <row r="84" spans="1:11">
      <c r="A84" s="4" t="s">
        <v>202</v>
      </c>
      <c r="B84" s="4">
        <v>2153</v>
      </c>
      <c r="K84" s="4" t="s">
        <v>386</v>
      </c>
    </row>
    <row r="85" spans="1:11">
      <c r="A85" s="4" t="s">
        <v>203</v>
      </c>
      <c r="B85" s="4">
        <v>159091</v>
      </c>
      <c r="C85" s="5" t="s">
        <v>724</v>
      </c>
      <c r="D85" s="5" t="s">
        <v>725</v>
      </c>
      <c r="E85" s="5" t="s">
        <v>726</v>
      </c>
      <c r="F85" s="5" t="s">
        <v>727</v>
      </c>
      <c r="G85" s="4" t="s">
        <v>607</v>
      </c>
    </row>
    <row r="86" spans="1:11" ht="30">
      <c r="A86" s="4" t="s">
        <v>204</v>
      </c>
      <c r="B86" s="4">
        <v>83986</v>
      </c>
      <c r="C86" s="5" t="s">
        <v>725</v>
      </c>
      <c r="D86" s="5" t="s">
        <v>725</v>
      </c>
      <c r="E86" s="5" t="s">
        <v>727</v>
      </c>
      <c r="F86" s="5" t="s">
        <v>727</v>
      </c>
      <c r="G86" s="4" t="s">
        <v>607</v>
      </c>
      <c r="H86" s="4" t="s">
        <v>607</v>
      </c>
      <c r="I86" s="4" t="s">
        <v>607</v>
      </c>
      <c r="K86" s="8" t="s">
        <v>434</v>
      </c>
    </row>
    <row r="87" spans="1:11">
      <c r="A87" s="4" t="s">
        <v>205</v>
      </c>
      <c r="B87" s="4">
        <v>554251</v>
      </c>
      <c r="C87" s="5" t="s">
        <v>725</v>
      </c>
      <c r="D87" s="5" t="s">
        <v>725</v>
      </c>
      <c r="E87" s="5" t="s">
        <v>727</v>
      </c>
      <c r="F87" s="5" t="s">
        <v>727</v>
      </c>
      <c r="I87" s="4" t="s">
        <v>607</v>
      </c>
    </row>
    <row r="88" spans="1:11" ht="30">
      <c r="A88" s="4" t="s">
        <v>206</v>
      </c>
      <c r="B88" s="4">
        <v>2241</v>
      </c>
      <c r="C88" s="5" t="s">
        <v>728</v>
      </c>
      <c r="D88" s="5" t="s">
        <v>729</v>
      </c>
      <c r="E88" s="5" t="s">
        <v>730</v>
      </c>
      <c r="F88" s="5" t="s">
        <v>727</v>
      </c>
      <c r="G88" s="4" t="s">
        <v>607</v>
      </c>
      <c r="I88" s="4" t="s">
        <v>607</v>
      </c>
      <c r="K88" s="8" t="s">
        <v>732</v>
      </c>
    </row>
    <row r="89" spans="1:11">
      <c r="A89" s="4" t="s">
        <v>207</v>
      </c>
      <c r="B89" s="4">
        <v>2330</v>
      </c>
      <c r="C89" s="5" t="s">
        <v>725</v>
      </c>
      <c r="D89" s="5" t="s">
        <v>725</v>
      </c>
      <c r="E89" s="5" t="s">
        <v>727</v>
      </c>
      <c r="F89" s="5" t="s">
        <v>727</v>
      </c>
      <c r="I89" s="4" t="s">
        <v>607</v>
      </c>
    </row>
    <row r="90" spans="1:11">
      <c r="A90" s="4" t="s">
        <v>208</v>
      </c>
      <c r="B90" s="4">
        <v>2346</v>
      </c>
      <c r="C90" s="5" t="s">
        <v>728</v>
      </c>
      <c r="D90" s="5" t="s">
        <v>729</v>
      </c>
      <c r="E90" s="5" t="s">
        <v>733</v>
      </c>
      <c r="F90" s="5" t="s">
        <v>734</v>
      </c>
      <c r="G90" s="4" t="s">
        <v>607</v>
      </c>
    </row>
    <row r="91" spans="1:11">
      <c r="A91" s="4" t="s">
        <v>209</v>
      </c>
      <c r="B91" s="4">
        <v>2356</v>
      </c>
      <c r="C91" s="5" t="s">
        <v>725</v>
      </c>
      <c r="D91" s="5" t="s">
        <v>735</v>
      </c>
      <c r="E91" s="5" t="s">
        <v>736</v>
      </c>
      <c r="F91" s="5" t="s">
        <v>737</v>
      </c>
      <c r="H91" s="4" t="s">
        <v>607</v>
      </c>
    </row>
    <row r="92" spans="1:11" ht="30">
      <c r="A92" s="4" t="s">
        <v>210</v>
      </c>
      <c r="B92" s="4">
        <v>11345</v>
      </c>
      <c r="C92" s="5" t="s">
        <v>738</v>
      </c>
      <c r="D92" s="5" t="s">
        <v>739</v>
      </c>
      <c r="E92" s="5" t="s">
        <v>740</v>
      </c>
      <c r="F92" s="5" t="s">
        <v>727</v>
      </c>
      <c r="I92" s="4" t="s">
        <v>607</v>
      </c>
      <c r="K92" s="8" t="s">
        <v>647</v>
      </c>
    </row>
    <row r="93" spans="1:11">
      <c r="A93" s="4" t="s">
        <v>211</v>
      </c>
      <c r="B93" s="4">
        <v>2621</v>
      </c>
      <c r="C93" s="5" t="s">
        <v>725</v>
      </c>
      <c r="D93" s="5" t="s">
        <v>725</v>
      </c>
      <c r="E93" s="5" t="s">
        <v>741</v>
      </c>
      <c r="F93" s="5" t="s">
        <v>727</v>
      </c>
      <c r="I93" s="4" t="s">
        <v>607</v>
      </c>
    </row>
    <row r="94" spans="1:11" ht="30">
      <c r="A94" s="4" t="s">
        <v>212</v>
      </c>
      <c r="B94" s="4">
        <v>54332</v>
      </c>
      <c r="C94" s="5" t="s">
        <v>742</v>
      </c>
      <c r="D94" s="5" t="s">
        <v>743</v>
      </c>
      <c r="E94" s="5" t="s">
        <v>744</v>
      </c>
      <c r="F94" s="5" t="s">
        <v>745</v>
      </c>
      <c r="I94" s="4" t="s">
        <v>607</v>
      </c>
      <c r="K94" s="8" t="s">
        <v>746</v>
      </c>
    </row>
    <row r="95" spans="1:11" ht="30">
      <c r="A95" s="4" t="s">
        <v>213</v>
      </c>
      <c r="B95" s="4">
        <v>2676</v>
      </c>
      <c r="C95" s="5" t="s">
        <v>747</v>
      </c>
      <c r="D95" s="5" t="s">
        <v>747</v>
      </c>
      <c r="E95" s="5" t="s">
        <v>748</v>
      </c>
      <c r="F95" s="5" t="s">
        <v>727</v>
      </c>
      <c r="G95" s="4" t="s">
        <v>607</v>
      </c>
      <c r="H95" s="4" t="s">
        <v>607</v>
      </c>
      <c r="I95" s="4" t="s">
        <v>607</v>
      </c>
      <c r="K95" s="8" t="s">
        <v>688</v>
      </c>
    </row>
    <row r="96" spans="1:11" ht="30">
      <c r="A96" s="4" t="s">
        <v>214</v>
      </c>
      <c r="B96" s="4">
        <v>112937</v>
      </c>
      <c r="C96" s="5" t="s">
        <v>749</v>
      </c>
      <c r="D96" s="5" t="s">
        <v>742</v>
      </c>
      <c r="E96" s="5" t="s">
        <v>750</v>
      </c>
      <c r="F96" s="5" t="s">
        <v>751</v>
      </c>
      <c r="G96" s="4" t="s">
        <v>607</v>
      </c>
      <c r="H96" s="4" t="s">
        <v>607</v>
      </c>
      <c r="I96" s="4" t="s">
        <v>607</v>
      </c>
      <c r="K96" s="8" t="s">
        <v>752</v>
      </c>
    </row>
    <row r="97" spans="1:11" ht="30">
      <c r="A97" s="4" t="s">
        <v>215</v>
      </c>
      <c r="B97" s="4">
        <v>51053</v>
      </c>
      <c r="C97" s="5" t="s">
        <v>753</v>
      </c>
      <c r="D97" s="5" t="s">
        <v>754</v>
      </c>
      <c r="E97" s="5" t="s">
        <v>755</v>
      </c>
      <c r="F97" s="5" t="s">
        <v>756</v>
      </c>
      <c r="G97" s="4" t="s">
        <v>607</v>
      </c>
      <c r="H97" s="4" t="s">
        <v>607</v>
      </c>
      <c r="I97" s="4" t="s">
        <v>607</v>
      </c>
      <c r="K97" s="8" t="s">
        <v>757</v>
      </c>
    </row>
    <row r="98" spans="1:11" ht="30">
      <c r="A98" s="4" t="s">
        <v>216</v>
      </c>
      <c r="B98" s="4">
        <v>2778</v>
      </c>
      <c r="C98" s="5" t="s">
        <v>729</v>
      </c>
      <c r="D98" s="5" t="s">
        <v>758</v>
      </c>
      <c r="E98" s="5" t="s">
        <v>759</v>
      </c>
      <c r="F98" s="5" t="s">
        <v>760</v>
      </c>
      <c r="G98" s="4" t="s">
        <v>607</v>
      </c>
      <c r="H98" s="4" t="s">
        <v>607</v>
      </c>
      <c r="I98" s="4" t="s">
        <v>607</v>
      </c>
      <c r="K98" s="8" t="s">
        <v>757</v>
      </c>
    </row>
    <row r="99" spans="1:11" ht="30">
      <c r="A99" s="4" t="s">
        <v>217</v>
      </c>
      <c r="B99" s="4">
        <v>10020</v>
      </c>
      <c r="C99" s="5" t="s">
        <v>739</v>
      </c>
      <c r="D99" s="5" t="s">
        <v>739</v>
      </c>
      <c r="E99" s="5" t="s">
        <v>761</v>
      </c>
      <c r="F99" s="5" t="s">
        <v>762</v>
      </c>
      <c r="G99" s="4" t="s">
        <v>607</v>
      </c>
      <c r="J99" s="4" t="s">
        <v>607</v>
      </c>
      <c r="K99" s="8" t="s">
        <v>768</v>
      </c>
    </row>
    <row r="100" spans="1:11">
      <c r="A100" s="4" t="s">
        <v>218</v>
      </c>
      <c r="B100" s="4">
        <v>79158</v>
      </c>
      <c r="C100" s="5" t="s">
        <v>739</v>
      </c>
      <c r="D100" s="5" t="s">
        <v>739</v>
      </c>
      <c r="E100" s="5" t="s">
        <v>763</v>
      </c>
      <c r="F100" s="5" t="s">
        <v>727</v>
      </c>
      <c r="G100" s="4" t="s">
        <v>607</v>
      </c>
    </row>
    <row r="101" spans="1:11" ht="30">
      <c r="A101" s="4" t="s">
        <v>219</v>
      </c>
      <c r="B101" s="4">
        <v>2821</v>
      </c>
      <c r="C101" s="5" t="s">
        <v>764</v>
      </c>
      <c r="D101" s="5" t="s">
        <v>765</v>
      </c>
      <c r="E101" s="5" t="s">
        <v>766</v>
      </c>
      <c r="F101" s="5" t="s">
        <v>767</v>
      </c>
      <c r="G101" s="4" t="s">
        <v>607</v>
      </c>
      <c r="J101" s="4" t="s">
        <v>607</v>
      </c>
      <c r="K101" s="8" t="s">
        <v>769</v>
      </c>
    </row>
    <row r="102" spans="1:11">
      <c r="A102" s="4" t="s">
        <v>220</v>
      </c>
      <c r="B102" s="4">
        <v>145258</v>
      </c>
      <c r="K102" s="4" t="s">
        <v>386</v>
      </c>
    </row>
    <row r="103" spans="1:11" ht="30">
      <c r="A103" s="4" t="s">
        <v>221</v>
      </c>
      <c r="B103" s="4">
        <v>2932</v>
      </c>
      <c r="C103" s="5" t="s">
        <v>770</v>
      </c>
      <c r="D103" s="5" t="s">
        <v>771</v>
      </c>
      <c r="E103" s="5" t="s">
        <v>772</v>
      </c>
      <c r="F103" s="5" t="s">
        <v>773</v>
      </c>
      <c r="I103" s="4" t="s">
        <v>607</v>
      </c>
      <c r="K103" s="8" t="s">
        <v>647</v>
      </c>
    </row>
    <row r="104" spans="1:11" ht="30">
      <c r="A104" s="4" t="s">
        <v>222</v>
      </c>
      <c r="B104" s="4">
        <v>2946</v>
      </c>
      <c r="C104" s="5" t="s">
        <v>774</v>
      </c>
      <c r="D104" s="5" t="s">
        <v>775</v>
      </c>
      <c r="E104" s="5" t="s">
        <v>776</v>
      </c>
      <c r="F104" s="5" t="s">
        <v>777</v>
      </c>
      <c r="I104" s="4" t="s">
        <v>607</v>
      </c>
      <c r="K104" s="8" t="s">
        <v>757</v>
      </c>
    </row>
    <row r="105" spans="1:11">
      <c r="A105" s="4" t="s">
        <v>223</v>
      </c>
      <c r="B105" s="4">
        <v>2950</v>
      </c>
      <c r="C105" s="5" t="s">
        <v>778</v>
      </c>
      <c r="D105" s="5" t="s">
        <v>778</v>
      </c>
      <c r="E105" s="5" t="s">
        <v>779</v>
      </c>
      <c r="F105" s="5" t="s">
        <v>780</v>
      </c>
      <c r="H105" s="4" t="s">
        <v>607</v>
      </c>
    </row>
    <row r="106" spans="1:11" ht="30">
      <c r="A106" s="4" t="s">
        <v>224</v>
      </c>
      <c r="B106" s="4">
        <v>3014</v>
      </c>
      <c r="C106" s="5" t="s">
        <v>781</v>
      </c>
      <c r="D106" s="5" t="s">
        <v>775</v>
      </c>
      <c r="E106" s="5" t="s">
        <v>782</v>
      </c>
      <c r="F106" s="5" t="s">
        <v>783</v>
      </c>
      <c r="I106" s="4" t="s">
        <v>607</v>
      </c>
      <c r="K106" s="8" t="s">
        <v>784</v>
      </c>
    </row>
    <row r="107" spans="1:11" ht="30">
      <c r="A107" s="4" t="s">
        <v>225</v>
      </c>
      <c r="B107" s="4">
        <v>145864</v>
      </c>
      <c r="C107" s="5" t="s">
        <v>771</v>
      </c>
      <c r="D107" s="5" t="s">
        <v>771</v>
      </c>
      <c r="E107" s="5" t="s">
        <v>785</v>
      </c>
      <c r="F107" s="5" t="s">
        <v>786</v>
      </c>
      <c r="G107" s="4" t="s">
        <v>607</v>
      </c>
      <c r="H107" s="4" t="s">
        <v>607</v>
      </c>
      <c r="I107" s="4" t="s">
        <v>607</v>
      </c>
      <c r="K107" s="8" t="s">
        <v>787</v>
      </c>
    </row>
    <row r="108" spans="1:11">
      <c r="A108" s="4" t="s">
        <v>226</v>
      </c>
      <c r="B108" s="4">
        <v>3065</v>
      </c>
      <c r="C108" s="5" t="s">
        <v>781</v>
      </c>
      <c r="D108" s="5" t="s">
        <v>775</v>
      </c>
      <c r="E108" s="5" t="s">
        <v>788</v>
      </c>
      <c r="F108" s="5" t="s">
        <v>789</v>
      </c>
      <c r="G108" s="4" t="s">
        <v>607</v>
      </c>
    </row>
    <row r="109" spans="1:11">
      <c r="A109" s="4" t="s">
        <v>227</v>
      </c>
      <c r="B109" s="4">
        <v>9734</v>
      </c>
      <c r="C109" s="5" t="s">
        <v>790</v>
      </c>
      <c r="D109" s="5" t="s">
        <v>771</v>
      </c>
      <c r="E109" s="5" t="s">
        <v>791</v>
      </c>
      <c r="F109" s="5" t="s">
        <v>786</v>
      </c>
      <c r="G109" s="4" t="s">
        <v>607</v>
      </c>
    </row>
    <row r="110" spans="1:11">
      <c r="A110" s="4" t="s">
        <v>228</v>
      </c>
      <c r="B110" s="4">
        <v>92797</v>
      </c>
      <c r="K110" s="4" t="s">
        <v>386</v>
      </c>
    </row>
    <row r="111" spans="1:11" ht="30">
      <c r="A111" s="4" t="s">
        <v>229</v>
      </c>
      <c r="B111" s="4">
        <v>284004</v>
      </c>
      <c r="C111" s="5" t="s">
        <v>778</v>
      </c>
      <c r="D111" s="5" t="s">
        <v>778</v>
      </c>
      <c r="E111" s="5" t="s">
        <v>792</v>
      </c>
      <c r="F111" s="5" t="s">
        <v>793</v>
      </c>
      <c r="G111" s="4" t="s">
        <v>607</v>
      </c>
      <c r="H111" s="4" t="s">
        <v>607</v>
      </c>
      <c r="I111" s="4" t="s">
        <v>607</v>
      </c>
      <c r="K111" s="8" t="s">
        <v>784</v>
      </c>
    </row>
    <row r="112" spans="1:11" ht="30">
      <c r="A112" s="4" t="s">
        <v>230</v>
      </c>
      <c r="B112" s="4">
        <v>3091</v>
      </c>
      <c r="C112" s="5" t="s">
        <v>794</v>
      </c>
      <c r="D112" s="5" t="s">
        <v>794</v>
      </c>
      <c r="E112" s="5" t="s">
        <v>795</v>
      </c>
      <c r="F112" s="5" t="s">
        <v>796</v>
      </c>
      <c r="I112" s="4" t="s">
        <v>607</v>
      </c>
      <c r="K112" s="8" t="s">
        <v>797</v>
      </c>
    </row>
    <row r="113" spans="1:11" ht="30">
      <c r="A113" s="4" t="s">
        <v>231</v>
      </c>
      <c r="B113" s="4">
        <v>284459</v>
      </c>
      <c r="C113" s="5" t="s">
        <v>778</v>
      </c>
      <c r="D113" s="5" t="s">
        <v>778</v>
      </c>
      <c r="E113" s="5" t="s">
        <v>798</v>
      </c>
      <c r="F113" s="5" t="s">
        <v>799</v>
      </c>
      <c r="I113" s="4" t="s">
        <v>607</v>
      </c>
      <c r="K113" s="8" t="s">
        <v>797</v>
      </c>
    </row>
    <row r="114" spans="1:11">
      <c r="A114" s="4" t="s">
        <v>232</v>
      </c>
      <c r="B114" s="4">
        <v>3295</v>
      </c>
      <c r="C114" s="5" t="s">
        <v>800</v>
      </c>
      <c r="D114" s="5" t="s">
        <v>778</v>
      </c>
      <c r="E114" s="5" t="s">
        <v>801</v>
      </c>
      <c r="F114" s="5" t="s">
        <v>779</v>
      </c>
      <c r="G114" s="4" t="s">
        <v>607</v>
      </c>
    </row>
    <row r="115" spans="1:11">
      <c r="A115" s="4" t="s">
        <v>233</v>
      </c>
      <c r="B115" s="4">
        <v>3304</v>
      </c>
      <c r="C115" s="5" t="s">
        <v>802</v>
      </c>
      <c r="D115" s="5" t="s">
        <v>803</v>
      </c>
      <c r="E115" s="5" t="s">
        <v>804</v>
      </c>
      <c r="F115" s="5" t="s">
        <v>793</v>
      </c>
      <c r="G115" s="4" t="s">
        <v>607</v>
      </c>
    </row>
    <row r="116" spans="1:11">
      <c r="A116" s="4" t="s">
        <v>234</v>
      </c>
      <c r="B116" s="4">
        <v>9466</v>
      </c>
      <c r="K116" s="4" t="s">
        <v>386</v>
      </c>
    </row>
    <row r="117" spans="1:11" ht="30">
      <c r="A117" s="4" t="s">
        <v>235</v>
      </c>
      <c r="B117" s="4">
        <v>3673</v>
      </c>
      <c r="C117" s="5" t="s">
        <v>805</v>
      </c>
      <c r="D117" s="5" t="s">
        <v>806</v>
      </c>
      <c r="E117" s="5" t="s">
        <v>807</v>
      </c>
      <c r="F117" s="5" t="s">
        <v>808</v>
      </c>
      <c r="G117" s="4" t="s">
        <v>607</v>
      </c>
      <c r="J117" s="4" t="s">
        <v>607</v>
      </c>
      <c r="K117" s="8" t="s">
        <v>768</v>
      </c>
    </row>
    <row r="118" spans="1:11" ht="30">
      <c r="A118" s="4" t="s">
        <v>236</v>
      </c>
      <c r="B118" s="4">
        <v>3685</v>
      </c>
      <c r="C118" s="5" t="s">
        <v>809</v>
      </c>
      <c r="D118" s="5" t="s">
        <v>806</v>
      </c>
      <c r="E118" s="5" t="s">
        <v>810</v>
      </c>
      <c r="F118" s="5" t="s">
        <v>815</v>
      </c>
      <c r="I118" s="4" t="s">
        <v>607</v>
      </c>
      <c r="K118" s="8" t="s">
        <v>784</v>
      </c>
    </row>
    <row r="119" spans="1:11" ht="30">
      <c r="A119" s="4" t="s">
        <v>237</v>
      </c>
      <c r="B119" s="4">
        <v>3693</v>
      </c>
      <c r="C119" s="5" t="s">
        <v>811</v>
      </c>
      <c r="D119" s="5" t="s">
        <v>812</v>
      </c>
      <c r="E119" s="5" t="s">
        <v>813</v>
      </c>
      <c r="F119" s="5" t="s">
        <v>814</v>
      </c>
      <c r="G119" s="4" t="s">
        <v>607</v>
      </c>
      <c r="H119" s="4" t="s">
        <v>607</v>
      </c>
      <c r="I119" s="4" t="s">
        <v>607</v>
      </c>
      <c r="K119" s="8" t="s">
        <v>816</v>
      </c>
    </row>
    <row r="120" spans="1:11" ht="30">
      <c r="A120" s="4" t="s">
        <v>238</v>
      </c>
      <c r="B120" s="4">
        <v>3717</v>
      </c>
      <c r="C120" s="5" t="s">
        <v>818</v>
      </c>
      <c r="D120" s="5" t="s">
        <v>817</v>
      </c>
      <c r="E120" s="5" t="s">
        <v>819</v>
      </c>
      <c r="F120" s="5" t="s">
        <v>819</v>
      </c>
      <c r="G120" s="4" t="s">
        <v>607</v>
      </c>
      <c r="H120" s="4" t="s">
        <v>607</v>
      </c>
      <c r="I120" s="4" t="s">
        <v>607</v>
      </c>
      <c r="K120" s="8" t="s">
        <v>714</v>
      </c>
    </row>
    <row r="121" spans="1:11">
      <c r="A121" s="4" t="s">
        <v>239</v>
      </c>
      <c r="B121" s="4">
        <v>3776</v>
      </c>
      <c r="K121" s="4" t="s">
        <v>386</v>
      </c>
    </row>
    <row r="122" spans="1:11">
      <c r="A122" s="4" t="s">
        <v>240</v>
      </c>
      <c r="B122" s="4">
        <v>84678</v>
      </c>
      <c r="K122" s="4" t="s">
        <v>386</v>
      </c>
    </row>
    <row r="123" spans="1:11">
      <c r="A123" s="4" t="s">
        <v>241</v>
      </c>
      <c r="B123" s="4">
        <v>10656</v>
      </c>
      <c r="C123" s="5" t="s">
        <v>820</v>
      </c>
      <c r="D123" s="5" t="s">
        <v>821</v>
      </c>
      <c r="E123" s="5" t="s">
        <v>822</v>
      </c>
      <c r="F123" s="5" t="s">
        <v>823</v>
      </c>
      <c r="G123" s="4" t="s">
        <v>607</v>
      </c>
      <c r="K123" s="8"/>
    </row>
    <row r="124" spans="1:11">
      <c r="A124" s="4" t="s">
        <v>242</v>
      </c>
      <c r="B124" s="4">
        <v>3848</v>
      </c>
      <c r="C124" s="5" t="s">
        <v>824</v>
      </c>
      <c r="D124" s="5" t="s">
        <v>825</v>
      </c>
      <c r="E124" s="5" t="s">
        <v>826</v>
      </c>
      <c r="F124" s="5" t="s">
        <v>826</v>
      </c>
      <c r="I124" s="4" t="s">
        <v>607</v>
      </c>
    </row>
    <row r="125" spans="1:11">
      <c r="A125" s="4" t="s">
        <v>243</v>
      </c>
      <c r="B125" s="4">
        <v>3858</v>
      </c>
      <c r="C125" s="5" t="s">
        <v>830</v>
      </c>
      <c r="D125" s="5" t="s">
        <v>825</v>
      </c>
      <c r="E125" s="5" t="s">
        <v>831</v>
      </c>
      <c r="F125" s="5" t="s">
        <v>832</v>
      </c>
      <c r="I125" s="4" t="s">
        <v>607</v>
      </c>
    </row>
    <row r="126" spans="1:11">
      <c r="A126" s="4" t="s">
        <v>244</v>
      </c>
      <c r="B126" s="4">
        <v>3861</v>
      </c>
      <c r="C126" s="5" t="s">
        <v>833</v>
      </c>
      <c r="D126" s="5" t="s">
        <v>818</v>
      </c>
      <c r="E126" s="5" t="s">
        <v>834</v>
      </c>
      <c r="F126" s="5" t="s">
        <v>835</v>
      </c>
      <c r="G126" s="4" t="s">
        <v>607</v>
      </c>
    </row>
    <row r="127" spans="1:11" ht="30">
      <c r="A127" s="4" t="s">
        <v>245</v>
      </c>
      <c r="B127" s="4">
        <v>3866</v>
      </c>
      <c r="C127" s="5" t="s">
        <v>820</v>
      </c>
      <c r="D127" s="5" t="s">
        <v>821</v>
      </c>
      <c r="E127" s="5" t="s">
        <v>836</v>
      </c>
      <c r="F127" s="5" t="s">
        <v>837</v>
      </c>
      <c r="I127" s="4" t="s">
        <v>607</v>
      </c>
      <c r="K127" s="8" t="s">
        <v>797</v>
      </c>
    </row>
    <row r="128" spans="1:11">
      <c r="A128" s="4" t="s">
        <v>246</v>
      </c>
      <c r="B128" s="4">
        <v>3852</v>
      </c>
      <c r="C128" s="5" t="s">
        <v>827</v>
      </c>
      <c r="D128" s="5" t="s">
        <v>825</v>
      </c>
      <c r="E128" s="5" t="s">
        <v>828</v>
      </c>
      <c r="F128" s="5" t="s">
        <v>829</v>
      </c>
      <c r="G128" s="4" t="s">
        <v>607</v>
      </c>
    </row>
    <row r="129" spans="1:11" ht="30">
      <c r="A129" s="4" t="s">
        <v>247</v>
      </c>
      <c r="B129" s="4">
        <v>221496</v>
      </c>
      <c r="C129" s="5" t="s">
        <v>821</v>
      </c>
      <c r="D129" s="5" t="s">
        <v>838</v>
      </c>
      <c r="E129" s="5" t="s">
        <v>839</v>
      </c>
      <c r="F129" s="5" t="s">
        <v>840</v>
      </c>
      <c r="H129" s="4" t="s">
        <v>607</v>
      </c>
      <c r="K129" s="8" t="s">
        <v>841</v>
      </c>
    </row>
    <row r="130" spans="1:11">
      <c r="A130" s="4" t="s">
        <v>248</v>
      </c>
      <c r="B130" s="4">
        <v>94059</v>
      </c>
      <c r="C130" s="5" t="s">
        <v>812</v>
      </c>
      <c r="D130" s="5" t="s">
        <v>812</v>
      </c>
      <c r="E130" s="5" t="s">
        <v>842</v>
      </c>
      <c r="F130" s="5" t="s">
        <v>837</v>
      </c>
      <c r="I130" s="4" t="s">
        <v>607</v>
      </c>
    </row>
    <row r="131" spans="1:11">
      <c r="A131" s="4" t="s">
        <v>249</v>
      </c>
      <c r="B131" s="4">
        <v>4015</v>
      </c>
      <c r="K131" s="4" t="s">
        <v>843</v>
      </c>
    </row>
    <row r="132" spans="1:11">
      <c r="A132" s="4" t="s">
        <v>250</v>
      </c>
      <c r="B132" s="4">
        <v>57633</v>
      </c>
      <c r="C132" s="5" t="s">
        <v>812</v>
      </c>
      <c r="D132" s="5" t="s">
        <v>844</v>
      </c>
      <c r="E132" s="5" t="s">
        <v>845</v>
      </c>
      <c r="F132" s="5" t="s">
        <v>846</v>
      </c>
      <c r="H132" s="4" t="s">
        <v>607</v>
      </c>
    </row>
    <row r="133" spans="1:11" ht="30">
      <c r="A133" s="4" t="s">
        <v>251</v>
      </c>
      <c r="B133" s="4">
        <v>4067</v>
      </c>
      <c r="C133" s="5" t="s">
        <v>847</v>
      </c>
      <c r="D133" s="5" t="s">
        <v>818</v>
      </c>
      <c r="E133" s="5" t="s">
        <v>848</v>
      </c>
      <c r="F133" s="5" t="s">
        <v>849</v>
      </c>
      <c r="I133" s="4" t="s">
        <v>607</v>
      </c>
      <c r="K133" s="8" t="s">
        <v>784</v>
      </c>
    </row>
    <row r="134" spans="1:11">
      <c r="A134" s="4" t="s">
        <v>252</v>
      </c>
      <c r="B134" s="4">
        <v>6885</v>
      </c>
      <c r="C134" s="5" t="s">
        <v>850</v>
      </c>
      <c r="D134" s="5" t="s">
        <v>851</v>
      </c>
      <c r="E134" s="5" t="s">
        <v>852</v>
      </c>
      <c r="F134" s="5" t="s">
        <v>853</v>
      </c>
      <c r="G134" s="4" t="s">
        <v>607</v>
      </c>
    </row>
    <row r="135" spans="1:11">
      <c r="A135" s="4" t="s">
        <v>253</v>
      </c>
      <c r="B135" s="4">
        <v>4173</v>
      </c>
      <c r="C135" s="5" t="s">
        <v>851</v>
      </c>
      <c r="D135" s="5" t="s">
        <v>851</v>
      </c>
      <c r="E135" s="5" t="s">
        <v>854</v>
      </c>
      <c r="F135" s="5" t="s">
        <v>855</v>
      </c>
      <c r="I135" s="4" t="s">
        <v>607</v>
      </c>
    </row>
    <row r="136" spans="1:11" ht="30">
      <c r="A136" s="4" t="s">
        <v>254</v>
      </c>
      <c r="B136" s="4">
        <v>4193</v>
      </c>
      <c r="C136" s="5" t="s">
        <v>856</v>
      </c>
      <c r="D136" s="5" t="s">
        <v>856</v>
      </c>
      <c r="E136" s="5" t="s">
        <v>857</v>
      </c>
      <c r="F136" s="5" t="s">
        <v>858</v>
      </c>
      <c r="G136" s="4" t="s">
        <v>607</v>
      </c>
      <c r="H136" s="4" t="s">
        <v>607</v>
      </c>
      <c r="I136" s="4" t="s">
        <v>607</v>
      </c>
      <c r="K136" s="8" t="s">
        <v>859</v>
      </c>
    </row>
    <row r="137" spans="1:11">
      <c r="A137" s="4" t="s">
        <v>255</v>
      </c>
      <c r="B137" s="4">
        <v>4318</v>
      </c>
      <c r="C137" s="5" t="s">
        <v>860</v>
      </c>
      <c r="D137" s="5" t="s">
        <v>861</v>
      </c>
      <c r="E137" s="5" t="s">
        <v>862</v>
      </c>
      <c r="F137" s="5" t="s">
        <v>863</v>
      </c>
      <c r="I137" s="4" t="s">
        <v>607</v>
      </c>
    </row>
    <row r="138" spans="1:11" ht="30">
      <c r="A138" s="4" t="s">
        <v>256</v>
      </c>
      <c r="B138" s="4">
        <v>8777</v>
      </c>
      <c r="C138" s="5" t="s">
        <v>864</v>
      </c>
      <c r="D138" s="5" t="s">
        <v>864</v>
      </c>
      <c r="E138" s="5" t="s">
        <v>865</v>
      </c>
      <c r="F138" s="5" t="s">
        <v>866</v>
      </c>
      <c r="G138" s="4" t="s">
        <v>607</v>
      </c>
      <c r="H138" s="4" t="s">
        <v>607</v>
      </c>
      <c r="I138" s="4" t="s">
        <v>607</v>
      </c>
      <c r="K138" s="8" t="s">
        <v>867</v>
      </c>
    </row>
    <row r="139" spans="1:11">
      <c r="A139" s="4" t="s">
        <v>257</v>
      </c>
      <c r="B139" s="4">
        <v>143098</v>
      </c>
      <c r="C139" s="5" t="s">
        <v>856</v>
      </c>
      <c r="D139" s="5" t="s">
        <v>856</v>
      </c>
      <c r="E139" s="5" t="s">
        <v>868</v>
      </c>
      <c r="F139" s="5" t="s">
        <v>869</v>
      </c>
      <c r="G139" s="4" t="s">
        <v>607</v>
      </c>
    </row>
    <row r="140" spans="1:11">
      <c r="A140" s="4" t="s">
        <v>258</v>
      </c>
      <c r="B140" s="4">
        <v>9902</v>
      </c>
      <c r="C140" s="5" t="s">
        <v>851</v>
      </c>
      <c r="D140" s="5" t="s">
        <v>850</v>
      </c>
      <c r="E140" s="5" t="s">
        <v>870</v>
      </c>
      <c r="F140" s="5" t="s">
        <v>871</v>
      </c>
      <c r="H140" s="4" t="s">
        <v>607</v>
      </c>
    </row>
    <row r="141" spans="1:11">
      <c r="A141" s="4" t="s">
        <v>259</v>
      </c>
      <c r="B141" s="4">
        <v>140699</v>
      </c>
      <c r="C141" s="5" t="s">
        <v>851</v>
      </c>
      <c r="D141" s="5" t="s">
        <v>851</v>
      </c>
      <c r="E141" s="5" t="s">
        <v>868</v>
      </c>
      <c r="F141" s="5" t="s">
        <v>869</v>
      </c>
      <c r="G141" s="4" t="s">
        <v>607</v>
      </c>
    </row>
    <row r="142" spans="1:11">
      <c r="A142" s="4" t="s">
        <v>260</v>
      </c>
      <c r="B142" s="4">
        <v>4500</v>
      </c>
      <c r="K142" s="4" t="s">
        <v>386</v>
      </c>
    </row>
    <row r="143" spans="1:11">
      <c r="A143" s="4" t="s">
        <v>261</v>
      </c>
      <c r="B143" s="4">
        <v>80198</v>
      </c>
      <c r="C143" s="5" t="s">
        <v>851</v>
      </c>
      <c r="D143" s="5" t="s">
        <v>851</v>
      </c>
      <c r="E143" s="5" t="s">
        <v>869</v>
      </c>
      <c r="F143" s="5" t="s">
        <v>869</v>
      </c>
      <c r="I143" s="4" t="s">
        <v>607</v>
      </c>
    </row>
    <row r="144" spans="1:11">
      <c r="A144" s="4" t="s">
        <v>262</v>
      </c>
      <c r="B144" s="4">
        <v>4602</v>
      </c>
      <c r="C144" s="5" t="s">
        <v>856</v>
      </c>
      <c r="D144" s="5" t="s">
        <v>856</v>
      </c>
      <c r="E144" s="5" t="s">
        <v>872</v>
      </c>
      <c r="F144" s="5" t="s">
        <v>869</v>
      </c>
      <c r="G144" s="4" t="s">
        <v>607</v>
      </c>
    </row>
    <row r="145" spans="1:11" ht="30">
      <c r="A145" s="4" t="s">
        <v>263</v>
      </c>
      <c r="B145" s="4">
        <v>4609</v>
      </c>
      <c r="C145" s="5" t="s">
        <v>873</v>
      </c>
      <c r="D145" s="5" t="s">
        <v>873</v>
      </c>
      <c r="E145" s="5" t="s">
        <v>874</v>
      </c>
      <c r="F145" s="5" t="s">
        <v>875</v>
      </c>
      <c r="G145" s="4" t="s">
        <v>607</v>
      </c>
      <c r="H145" s="4" t="s">
        <v>607</v>
      </c>
      <c r="I145" s="4" t="s">
        <v>607</v>
      </c>
      <c r="K145" s="8" t="s">
        <v>757</v>
      </c>
    </row>
    <row r="146" spans="1:11" ht="30">
      <c r="A146" s="4" t="s">
        <v>264</v>
      </c>
      <c r="B146" s="4">
        <v>79829</v>
      </c>
      <c r="C146" s="5" t="s">
        <v>876</v>
      </c>
      <c r="D146" s="5" t="s">
        <v>876</v>
      </c>
      <c r="E146" s="5" t="s">
        <v>877</v>
      </c>
      <c r="F146" s="5" t="s">
        <v>878</v>
      </c>
      <c r="G146" s="4" t="s">
        <v>607</v>
      </c>
      <c r="H146" s="4" t="s">
        <v>607</v>
      </c>
      <c r="I146" s="4" t="s">
        <v>607</v>
      </c>
      <c r="K146" s="8" t="s">
        <v>867</v>
      </c>
    </row>
    <row r="147" spans="1:11">
      <c r="A147" s="4" t="s">
        <v>265</v>
      </c>
      <c r="B147" s="4">
        <v>55706</v>
      </c>
      <c r="C147" s="5" t="s">
        <v>879</v>
      </c>
      <c r="D147" s="5" t="s">
        <v>880</v>
      </c>
      <c r="E147" s="5" t="s">
        <v>881</v>
      </c>
      <c r="F147" s="5" t="s">
        <v>882</v>
      </c>
      <c r="I147" s="4" t="s">
        <v>607</v>
      </c>
    </row>
    <row r="148" spans="1:11" ht="30">
      <c r="A148" s="4" t="s">
        <v>266</v>
      </c>
      <c r="B148" s="4">
        <v>4744</v>
      </c>
      <c r="C148" s="5" t="s">
        <v>883</v>
      </c>
      <c r="D148" s="5" t="s">
        <v>884</v>
      </c>
      <c r="E148" s="5" t="s">
        <v>885</v>
      </c>
      <c r="F148" s="5" t="s">
        <v>886</v>
      </c>
      <c r="I148" s="4" t="s">
        <v>607</v>
      </c>
      <c r="K148" s="8" t="s">
        <v>797</v>
      </c>
    </row>
    <row r="149" spans="1:11">
      <c r="A149" s="4" t="s">
        <v>267</v>
      </c>
      <c r="B149" s="4">
        <v>81831</v>
      </c>
      <c r="C149" s="5" t="s">
        <v>887</v>
      </c>
      <c r="D149" s="5" t="s">
        <v>876</v>
      </c>
      <c r="E149" s="5" t="s">
        <v>888</v>
      </c>
      <c r="F149" s="5" t="s">
        <v>889</v>
      </c>
      <c r="G149" s="4" t="s">
        <v>607</v>
      </c>
    </row>
    <row r="150" spans="1:11" ht="30">
      <c r="A150" s="4" t="s">
        <v>268</v>
      </c>
      <c r="B150" s="4">
        <v>8382</v>
      </c>
      <c r="C150" s="5" t="s">
        <v>890</v>
      </c>
      <c r="D150" s="5" t="s">
        <v>891</v>
      </c>
      <c r="E150" s="5" t="s">
        <v>892</v>
      </c>
      <c r="F150" s="5" t="s">
        <v>893</v>
      </c>
      <c r="I150" s="4" t="s">
        <v>607</v>
      </c>
      <c r="K150" s="8" t="s">
        <v>797</v>
      </c>
    </row>
    <row r="151" spans="1:11">
      <c r="A151" s="4" t="s">
        <v>269</v>
      </c>
      <c r="B151" s="4">
        <v>4851</v>
      </c>
      <c r="C151" s="5" t="s">
        <v>894</v>
      </c>
      <c r="D151" s="5" t="s">
        <v>895</v>
      </c>
      <c r="E151" s="5" t="s">
        <v>896</v>
      </c>
      <c r="F151" s="5" t="s">
        <v>897</v>
      </c>
      <c r="G151" s="4" t="s">
        <v>607</v>
      </c>
    </row>
    <row r="152" spans="1:11">
      <c r="A152" s="4" t="s">
        <v>270</v>
      </c>
      <c r="B152" s="4">
        <v>4855</v>
      </c>
      <c r="K152" s="4" t="s">
        <v>386</v>
      </c>
    </row>
    <row r="153" spans="1:11">
      <c r="A153" s="4" t="s">
        <v>271</v>
      </c>
      <c r="B153" s="4">
        <v>50507</v>
      </c>
      <c r="K153" s="4" t="s">
        <v>386</v>
      </c>
    </row>
    <row r="154" spans="1:11">
      <c r="A154" s="4" t="s">
        <v>272</v>
      </c>
      <c r="B154" s="4">
        <v>4883</v>
      </c>
      <c r="C154" s="5" t="s">
        <v>898</v>
      </c>
      <c r="D154" s="5" t="s">
        <v>899</v>
      </c>
      <c r="E154" s="5" t="s">
        <v>897</v>
      </c>
      <c r="F154" s="5" t="s">
        <v>900</v>
      </c>
      <c r="I154" s="4" t="s">
        <v>607</v>
      </c>
    </row>
    <row r="155" spans="1:11" ht="30">
      <c r="A155" s="4" t="s">
        <v>273</v>
      </c>
      <c r="B155" s="4">
        <v>4916</v>
      </c>
      <c r="C155" s="5" t="s">
        <v>887</v>
      </c>
      <c r="D155" s="5" t="s">
        <v>876</v>
      </c>
      <c r="E155" s="5" t="s">
        <v>901</v>
      </c>
      <c r="F155" s="5" t="s">
        <v>882</v>
      </c>
      <c r="I155" s="4" t="s">
        <v>607</v>
      </c>
      <c r="K155" s="8" t="s">
        <v>797</v>
      </c>
    </row>
    <row r="156" spans="1:11">
      <c r="A156" s="4" t="s">
        <v>274</v>
      </c>
      <c r="B156" s="4">
        <v>4924</v>
      </c>
      <c r="C156" s="5" t="s">
        <v>887</v>
      </c>
      <c r="D156" s="5" t="s">
        <v>876</v>
      </c>
      <c r="E156" s="5" t="s">
        <v>902</v>
      </c>
      <c r="F156" s="5" t="s">
        <v>889</v>
      </c>
      <c r="G156" s="4" t="s">
        <v>607</v>
      </c>
    </row>
    <row r="157" spans="1:11">
      <c r="A157" s="4" t="s">
        <v>275</v>
      </c>
      <c r="B157" s="4">
        <v>55270</v>
      </c>
      <c r="C157" s="5" t="s">
        <v>903</v>
      </c>
      <c r="D157" s="5" t="s">
        <v>898</v>
      </c>
      <c r="E157" s="5" t="s">
        <v>902</v>
      </c>
      <c r="F157" s="5" t="s">
        <v>889</v>
      </c>
      <c r="G157" s="4" t="s">
        <v>607</v>
      </c>
    </row>
    <row r="158" spans="1:11">
      <c r="A158" s="4" t="s">
        <v>276</v>
      </c>
      <c r="B158" s="4">
        <v>10482</v>
      </c>
      <c r="C158" s="5" t="s">
        <v>894</v>
      </c>
      <c r="D158" s="5" t="s">
        <v>895</v>
      </c>
      <c r="E158" s="5" t="s">
        <v>904</v>
      </c>
      <c r="F158" s="5" t="s">
        <v>905</v>
      </c>
      <c r="G158" s="4" t="s">
        <v>607</v>
      </c>
    </row>
    <row r="159" spans="1:11" ht="30">
      <c r="A159" s="4" t="s">
        <v>277</v>
      </c>
      <c r="B159" s="4">
        <v>55611</v>
      </c>
      <c r="C159" s="5" t="s">
        <v>906</v>
      </c>
      <c r="D159" s="5" t="s">
        <v>907</v>
      </c>
      <c r="E159" s="5" t="s">
        <v>908</v>
      </c>
      <c r="F159" s="5" t="s">
        <v>909</v>
      </c>
      <c r="G159" s="4" t="s">
        <v>607</v>
      </c>
      <c r="H159" s="4" t="s">
        <v>607</v>
      </c>
      <c r="I159" s="4" t="s">
        <v>607</v>
      </c>
      <c r="K159" s="8" t="s">
        <v>867</v>
      </c>
    </row>
    <row r="160" spans="1:11">
      <c r="A160" s="4" t="s">
        <v>278</v>
      </c>
      <c r="B160" s="4">
        <v>5016</v>
      </c>
      <c r="C160" s="5" t="s">
        <v>910</v>
      </c>
      <c r="D160" s="5" t="s">
        <v>910</v>
      </c>
      <c r="E160" s="5" t="s">
        <v>911</v>
      </c>
      <c r="F160" s="5" t="s">
        <v>912</v>
      </c>
      <c r="I160" s="4" t="s">
        <v>607</v>
      </c>
    </row>
    <row r="161" spans="1:11" ht="30">
      <c r="A161" s="4" t="s">
        <v>279</v>
      </c>
      <c r="B161" s="4">
        <v>55214</v>
      </c>
      <c r="C161" s="5" t="s">
        <v>910</v>
      </c>
      <c r="D161" s="5" t="s">
        <v>910</v>
      </c>
      <c r="E161" s="5" t="s">
        <v>914</v>
      </c>
      <c r="F161" s="5" t="s">
        <v>913</v>
      </c>
      <c r="G161" s="4" t="s">
        <v>607</v>
      </c>
      <c r="H161" s="4" t="s">
        <v>607</v>
      </c>
      <c r="I161" s="4" t="s">
        <v>607</v>
      </c>
      <c r="K161" s="8" t="s">
        <v>867</v>
      </c>
    </row>
    <row r="162" spans="1:11" ht="30">
      <c r="A162" s="4" t="s">
        <v>280</v>
      </c>
      <c r="B162" s="4">
        <v>25849</v>
      </c>
      <c r="C162" s="5" t="s">
        <v>910</v>
      </c>
      <c r="D162" s="5" t="s">
        <v>910</v>
      </c>
      <c r="E162" s="5" t="s">
        <v>915</v>
      </c>
      <c r="F162" s="5" t="s">
        <v>916</v>
      </c>
      <c r="I162" s="4" t="s">
        <v>607</v>
      </c>
      <c r="K162" s="8" t="s">
        <v>797</v>
      </c>
    </row>
    <row r="163" spans="1:11">
      <c r="A163" s="4" t="s">
        <v>281</v>
      </c>
      <c r="B163" s="4">
        <v>50652</v>
      </c>
      <c r="K163" s="4" t="s">
        <v>386</v>
      </c>
    </row>
    <row r="164" spans="1:11">
      <c r="A164" s="4" t="s">
        <v>282</v>
      </c>
      <c r="B164" s="4">
        <v>5111</v>
      </c>
      <c r="C164" s="5" t="s">
        <v>917</v>
      </c>
      <c r="D164" s="5" t="s">
        <v>916</v>
      </c>
      <c r="E164" s="5" t="s">
        <v>918</v>
      </c>
      <c r="G164" s="4" t="s">
        <v>607</v>
      </c>
    </row>
    <row r="165" spans="1:11">
      <c r="A165" s="4" t="s">
        <v>283</v>
      </c>
      <c r="B165" s="4">
        <v>5046</v>
      </c>
      <c r="C165" s="5" t="s">
        <v>919</v>
      </c>
      <c r="D165" s="5" t="s">
        <v>910</v>
      </c>
      <c r="E165" s="5" t="s">
        <v>920</v>
      </c>
      <c r="F165" s="5" t="s">
        <v>921</v>
      </c>
      <c r="G165" s="4" t="s">
        <v>607</v>
      </c>
    </row>
    <row r="166" spans="1:11">
      <c r="A166" s="4" t="s">
        <v>284</v>
      </c>
      <c r="B166" s="4">
        <v>9659</v>
      </c>
      <c r="K166" s="4" t="s">
        <v>386</v>
      </c>
    </row>
    <row r="167" spans="1:11">
      <c r="A167" s="4" t="s">
        <v>285</v>
      </c>
      <c r="B167" s="4">
        <v>5170</v>
      </c>
      <c r="C167" s="5" t="s">
        <v>922</v>
      </c>
      <c r="D167" s="5" t="s">
        <v>923</v>
      </c>
      <c r="E167" s="5" t="s">
        <v>925</v>
      </c>
      <c r="F167" s="5" t="s">
        <v>924</v>
      </c>
      <c r="G167" s="4" t="s">
        <v>607</v>
      </c>
    </row>
    <row r="168" spans="1:11" ht="30">
      <c r="A168" s="4" t="s">
        <v>286</v>
      </c>
      <c r="B168" s="4">
        <v>10857</v>
      </c>
      <c r="C168" s="5" t="s">
        <v>910</v>
      </c>
      <c r="D168" s="5" t="s">
        <v>926</v>
      </c>
      <c r="E168" s="5" t="s">
        <v>927</v>
      </c>
      <c r="F168" s="5" t="s">
        <v>928</v>
      </c>
      <c r="G168" s="4" t="s">
        <v>607</v>
      </c>
      <c r="H168" s="4" t="s">
        <v>607</v>
      </c>
      <c r="I168" s="4" t="s">
        <v>607</v>
      </c>
      <c r="K168" s="8" t="s">
        <v>929</v>
      </c>
    </row>
    <row r="169" spans="1:11" ht="30">
      <c r="A169" s="4" t="s">
        <v>287</v>
      </c>
      <c r="B169" s="4">
        <v>9749</v>
      </c>
      <c r="C169" s="5" t="s">
        <v>930</v>
      </c>
      <c r="D169" s="5" t="s">
        <v>931</v>
      </c>
      <c r="E169" s="5" t="s">
        <v>932</v>
      </c>
      <c r="F169" s="5" t="s">
        <v>933</v>
      </c>
      <c r="I169" s="4" t="s">
        <v>607</v>
      </c>
      <c r="K169" s="8" t="s">
        <v>797</v>
      </c>
    </row>
    <row r="170" spans="1:11">
      <c r="A170" s="4" t="s">
        <v>288</v>
      </c>
      <c r="B170" s="4">
        <v>5252</v>
      </c>
      <c r="C170" s="5" t="s">
        <v>930</v>
      </c>
      <c r="D170" s="5" t="s">
        <v>931</v>
      </c>
      <c r="E170" s="5" t="s">
        <v>934</v>
      </c>
      <c r="F170" s="5" t="s">
        <v>912</v>
      </c>
      <c r="G170" s="4" t="s">
        <v>607</v>
      </c>
    </row>
    <row r="171" spans="1:11">
      <c r="A171" s="4" t="s">
        <v>289</v>
      </c>
      <c r="B171" s="4">
        <v>8503</v>
      </c>
      <c r="C171" s="5" t="s">
        <v>919</v>
      </c>
      <c r="D171" s="5" t="s">
        <v>910</v>
      </c>
      <c r="E171" s="5" t="s">
        <v>935</v>
      </c>
      <c r="F171" s="5" t="s">
        <v>921</v>
      </c>
      <c r="G171" s="4" t="s">
        <v>607</v>
      </c>
    </row>
    <row r="172" spans="1:11">
      <c r="A172" s="4" t="s">
        <v>290</v>
      </c>
      <c r="B172" s="4">
        <v>130271</v>
      </c>
      <c r="K172" s="4" t="s">
        <v>386</v>
      </c>
    </row>
    <row r="173" spans="1:11" ht="30">
      <c r="A173" s="4" t="s">
        <v>291</v>
      </c>
      <c r="B173" s="4">
        <v>10957</v>
      </c>
      <c r="C173" s="5" t="s">
        <v>936</v>
      </c>
      <c r="D173" s="5" t="s">
        <v>931</v>
      </c>
      <c r="E173" s="5" t="s">
        <v>928</v>
      </c>
      <c r="F173" s="5" t="s">
        <v>927</v>
      </c>
      <c r="G173" s="4" t="s">
        <v>607</v>
      </c>
      <c r="H173" s="4" t="s">
        <v>607</v>
      </c>
      <c r="I173" s="4" t="s">
        <v>607</v>
      </c>
      <c r="K173" s="8" t="s">
        <v>757</v>
      </c>
    </row>
    <row r="174" spans="1:11" ht="30">
      <c r="A174" s="4" t="s">
        <v>292</v>
      </c>
      <c r="B174" s="4">
        <v>5460</v>
      </c>
      <c r="C174" s="5" t="s">
        <v>937</v>
      </c>
      <c r="D174" s="5" t="s">
        <v>906</v>
      </c>
      <c r="E174" s="5" t="s">
        <v>938</v>
      </c>
      <c r="I174" s="4" t="s">
        <v>607</v>
      </c>
      <c r="K174" s="8" t="s">
        <v>797</v>
      </c>
    </row>
    <row r="175" spans="1:11">
      <c r="A175" s="4" t="s">
        <v>293</v>
      </c>
      <c r="B175" s="4">
        <v>5558</v>
      </c>
      <c r="K175" s="4" t="s">
        <v>939</v>
      </c>
    </row>
    <row r="176" spans="1:11" ht="30">
      <c r="A176" s="4" t="s">
        <v>294</v>
      </c>
      <c r="B176" s="4">
        <v>118672</v>
      </c>
      <c r="C176" s="5" t="s">
        <v>910</v>
      </c>
      <c r="D176" s="5" t="s">
        <v>940</v>
      </c>
      <c r="E176" s="5" t="s">
        <v>912</v>
      </c>
      <c r="F176" s="5" t="s">
        <v>941</v>
      </c>
      <c r="G176" s="4" t="s">
        <v>607</v>
      </c>
      <c r="H176" s="4" t="s">
        <v>607</v>
      </c>
      <c r="I176" s="4" t="s">
        <v>607</v>
      </c>
      <c r="K176" s="8" t="s">
        <v>929</v>
      </c>
    </row>
    <row r="177" spans="1:11" ht="30">
      <c r="A177" s="4" t="s">
        <v>295</v>
      </c>
      <c r="B177" s="4">
        <v>5747</v>
      </c>
      <c r="C177" s="5" t="s">
        <v>942</v>
      </c>
      <c r="D177" s="5" t="s">
        <v>923</v>
      </c>
      <c r="E177" s="5" t="s">
        <v>943</v>
      </c>
      <c r="F177" s="5" t="s">
        <v>924</v>
      </c>
      <c r="G177" s="4" t="s">
        <v>607</v>
      </c>
      <c r="H177" s="4" t="s">
        <v>607</v>
      </c>
      <c r="I177" s="4" t="s">
        <v>607</v>
      </c>
      <c r="K177" s="8" t="s">
        <v>944</v>
      </c>
    </row>
    <row r="178" spans="1:11" ht="30">
      <c r="A178" s="4" t="s">
        <v>296</v>
      </c>
      <c r="B178" s="4">
        <v>5770</v>
      </c>
      <c r="C178" s="5" t="s">
        <v>945</v>
      </c>
      <c r="D178" s="5" t="s">
        <v>945</v>
      </c>
      <c r="E178" s="5" t="s">
        <v>946</v>
      </c>
      <c r="F178" s="5" t="s">
        <v>946</v>
      </c>
      <c r="G178" s="4" t="s">
        <v>607</v>
      </c>
      <c r="H178" s="4" t="s">
        <v>607</v>
      </c>
      <c r="I178" s="4" t="s">
        <v>607</v>
      </c>
      <c r="K178" s="8" t="s">
        <v>757</v>
      </c>
    </row>
    <row r="179" spans="1:11" ht="30">
      <c r="A179" s="4" t="s">
        <v>297</v>
      </c>
      <c r="B179" s="4">
        <v>5797</v>
      </c>
      <c r="C179" s="5" t="s">
        <v>945</v>
      </c>
      <c r="D179" s="5" t="s">
        <v>945</v>
      </c>
      <c r="E179" s="5" t="s">
        <v>947</v>
      </c>
      <c r="F179" s="5" t="s">
        <v>947</v>
      </c>
      <c r="G179" s="4" t="s">
        <v>607</v>
      </c>
      <c r="H179" s="4" t="s">
        <v>607</v>
      </c>
      <c r="I179" s="4" t="s">
        <v>607</v>
      </c>
      <c r="K179" s="8" t="s">
        <v>757</v>
      </c>
    </row>
    <row r="180" spans="1:11">
      <c r="A180" s="4" t="s">
        <v>298</v>
      </c>
      <c r="B180" s="4">
        <v>22913</v>
      </c>
      <c r="C180" s="5" t="s">
        <v>948</v>
      </c>
      <c r="D180" s="5" t="s">
        <v>949</v>
      </c>
      <c r="E180" s="5" t="s">
        <v>950</v>
      </c>
      <c r="F180" s="5" t="s">
        <v>951</v>
      </c>
      <c r="G180" s="4" t="s">
        <v>607</v>
      </c>
      <c r="H180" s="4" t="s">
        <v>607</v>
      </c>
      <c r="I180" s="4" t="s">
        <v>607</v>
      </c>
      <c r="K180" s="8" t="s">
        <v>952</v>
      </c>
    </row>
    <row r="181" spans="1:11">
      <c r="A181" s="4" t="s">
        <v>299</v>
      </c>
      <c r="B181" s="4">
        <v>10267</v>
      </c>
      <c r="K181" s="4" t="s">
        <v>386</v>
      </c>
    </row>
    <row r="182" spans="1:11" ht="30">
      <c r="A182" s="4" t="s">
        <v>300</v>
      </c>
      <c r="B182" s="4">
        <v>11186</v>
      </c>
      <c r="C182" s="5" t="s">
        <v>948</v>
      </c>
      <c r="D182" s="5" t="s">
        <v>948</v>
      </c>
      <c r="E182" s="5" t="s">
        <v>953</v>
      </c>
      <c r="F182" s="5" t="s">
        <v>954</v>
      </c>
      <c r="G182" s="4" t="s">
        <v>607</v>
      </c>
      <c r="H182" s="4" t="s">
        <v>607</v>
      </c>
      <c r="I182" s="4" t="s">
        <v>607</v>
      </c>
      <c r="K182" s="8" t="s">
        <v>434</v>
      </c>
    </row>
    <row r="183" spans="1:11" ht="30">
      <c r="A183" s="4" t="s">
        <v>301</v>
      </c>
      <c r="B183" s="4">
        <v>11228</v>
      </c>
      <c r="C183" s="5" t="s">
        <v>949</v>
      </c>
      <c r="D183" s="5" t="s">
        <v>949</v>
      </c>
      <c r="E183" s="5" t="s">
        <v>955</v>
      </c>
      <c r="F183" s="5" t="s">
        <v>946</v>
      </c>
      <c r="G183" s="4" t="s">
        <v>607</v>
      </c>
      <c r="H183" s="4" t="s">
        <v>607</v>
      </c>
      <c r="I183" s="4" t="s">
        <v>607</v>
      </c>
      <c r="K183" s="8" t="s">
        <v>867</v>
      </c>
    </row>
    <row r="184" spans="1:11" ht="30">
      <c r="A184" s="4" t="s">
        <v>302</v>
      </c>
      <c r="B184" s="4">
        <v>5925</v>
      </c>
      <c r="C184" s="5" t="s">
        <v>956</v>
      </c>
      <c r="D184" s="5" t="s">
        <v>956</v>
      </c>
      <c r="E184" s="5" t="s">
        <v>957</v>
      </c>
      <c r="F184" s="5" t="s">
        <v>958</v>
      </c>
      <c r="I184" s="4" t="s">
        <v>607</v>
      </c>
      <c r="K184" s="8" t="s">
        <v>797</v>
      </c>
    </row>
    <row r="185" spans="1:11">
      <c r="A185" s="4" t="s">
        <v>303</v>
      </c>
      <c r="B185" s="4">
        <v>5979</v>
      </c>
      <c r="C185" s="5" t="s">
        <v>959</v>
      </c>
      <c r="D185" s="5" t="s">
        <v>960</v>
      </c>
      <c r="E185" s="5" t="s">
        <v>961</v>
      </c>
      <c r="F185" s="5" t="s">
        <v>962</v>
      </c>
      <c r="G185" s="4" t="s">
        <v>607</v>
      </c>
    </row>
    <row r="186" spans="1:11">
      <c r="A186" s="4" t="s">
        <v>304</v>
      </c>
      <c r="B186" s="4">
        <v>285704</v>
      </c>
      <c r="K186" s="4" t="s">
        <v>963</v>
      </c>
    </row>
    <row r="187" spans="1:11" ht="30">
      <c r="A187" s="4" t="s">
        <v>305</v>
      </c>
      <c r="B187" s="4">
        <v>116028</v>
      </c>
      <c r="C187" s="5" t="s">
        <v>960</v>
      </c>
      <c r="D187" s="5" t="s">
        <v>964</v>
      </c>
      <c r="E187" s="5" t="s">
        <v>946</v>
      </c>
      <c r="F187" s="5" t="s">
        <v>962</v>
      </c>
      <c r="G187" s="4" t="s">
        <v>607</v>
      </c>
      <c r="H187" s="4" t="s">
        <v>607</v>
      </c>
      <c r="I187" s="4" t="s">
        <v>607</v>
      </c>
      <c r="K187" s="8" t="s">
        <v>434</v>
      </c>
    </row>
    <row r="188" spans="1:11" ht="30">
      <c r="A188" s="4" t="s">
        <v>306</v>
      </c>
      <c r="B188" s="4">
        <v>6091</v>
      </c>
      <c r="C188" s="5" t="s">
        <v>960</v>
      </c>
      <c r="D188" s="5" t="s">
        <v>960</v>
      </c>
      <c r="E188" s="5" t="s">
        <v>953</v>
      </c>
      <c r="F188" s="5" t="s">
        <v>954</v>
      </c>
      <c r="G188" s="4" t="s">
        <v>607</v>
      </c>
      <c r="H188" s="4" t="s">
        <v>607</v>
      </c>
      <c r="I188" s="4" t="s">
        <v>607</v>
      </c>
      <c r="K188" s="8" t="s">
        <v>434</v>
      </c>
    </row>
    <row r="189" spans="1:11" ht="30">
      <c r="A189" s="4" t="s">
        <v>307</v>
      </c>
      <c r="B189" s="4">
        <v>6092</v>
      </c>
      <c r="C189" s="5" t="s">
        <v>965</v>
      </c>
      <c r="D189" s="5" t="s">
        <v>945</v>
      </c>
      <c r="E189" s="5" t="s">
        <v>966</v>
      </c>
      <c r="F189" s="5" t="s">
        <v>967</v>
      </c>
      <c r="G189" s="4" t="s">
        <v>607</v>
      </c>
      <c r="H189" s="4" t="s">
        <v>607</v>
      </c>
      <c r="I189" s="4" t="s">
        <v>607</v>
      </c>
      <c r="K189" s="8" t="s">
        <v>968</v>
      </c>
    </row>
    <row r="190" spans="1:11">
      <c r="A190" s="4" t="s">
        <v>308</v>
      </c>
      <c r="B190" s="4">
        <v>6103</v>
      </c>
      <c r="C190" s="5" t="s">
        <v>965</v>
      </c>
      <c r="D190" s="5" t="s">
        <v>945</v>
      </c>
      <c r="E190" s="5" t="s">
        <v>969</v>
      </c>
      <c r="F190" s="5" t="s">
        <v>954</v>
      </c>
      <c r="G190" s="4" t="s">
        <v>607</v>
      </c>
    </row>
    <row r="191" spans="1:11" ht="30">
      <c r="A191" s="4" t="s">
        <v>309</v>
      </c>
      <c r="B191" s="4">
        <v>57521</v>
      </c>
      <c r="C191" s="5" t="s">
        <v>945</v>
      </c>
      <c r="D191" s="5" t="s">
        <v>945</v>
      </c>
      <c r="E191" s="5" t="s">
        <v>970</v>
      </c>
      <c r="F191" s="5" t="s">
        <v>970</v>
      </c>
      <c r="G191" s="4" t="s">
        <v>607</v>
      </c>
      <c r="H191" s="4" t="s">
        <v>607</v>
      </c>
      <c r="I191" s="4" t="s">
        <v>607</v>
      </c>
      <c r="K191" s="8" t="s">
        <v>434</v>
      </c>
    </row>
    <row r="192" spans="1:11" ht="30">
      <c r="A192" s="4" t="s">
        <v>310</v>
      </c>
      <c r="B192" s="4">
        <v>59350</v>
      </c>
      <c r="C192" s="5" t="s">
        <v>971</v>
      </c>
      <c r="D192" s="5" t="s">
        <v>960</v>
      </c>
      <c r="E192" s="5" t="s">
        <v>946</v>
      </c>
      <c r="F192" s="5" t="s">
        <v>972</v>
      </c>
      <c r="G192" s="4" t="s">
        <v>607</v>
      </c>
      <c r="H192" s="4" t="s">
        <v>607</v>
      </c>
      <c r="I192" s="4" t="s">
        <v>607</v>
      </c>
      <c r="K192" s="8" t="s">
        <v>973</v>
      </c>
    </row>
    <row r="193" spans="1:11" ht="30">
      <c r="A193" s="4" t="s">
        <v>311</v>
      </c>
      <c r="B193" s="4">
        <v>57715</v>
      </c>
      <c r="C193" s="5" t="s">
        <v>960</v>
      </c>
      <c r="D193" s="5" t="s">
        <v>964</v>
      </c>
      <c r="E193" s="5" t="s">
        <v>974</v>
      </c>
      <c r="F193" s="5" t="s">
        <v>954</v>
      </c>
      <c r="I193" s="4" t="s">
        <v>607</v>
      </c>
      <c r="K193" s="8" t="s">
        <v>797</v>
      </c>
    </row>
    <row r="194" spans="1:11" ht="30">
      <c r="A194" s="4" t="s">
        <v>312</v>
      </c>
      <c r="B194" s="4">
        <v>10801</v>
      </c>
      <c r="C194" s="5" t="s">
        <v>945</v>
      </c>
      <c r="D194" s="5" t="s">
        <v>945</v>
      </c>
      <c r="E194" s="5" t="s">
        <v>975</v>
      </c>
      <c r="F194" s="5" t="s">
        <v>976</v>
      </c>
      <c r="G194" s="4" t="s">
        <v>607</v>
      </c>
      <c r="H194" s="4" t="s">
        <v>607</v>
      </c>
      <c r="I194" s="4" t="s">
        <v>607</v>
      </c>
      <c r="K194" s="8" t="s">
        <v>867</v>
      </c>
    </row>
    <row r="195" spans="1:11" ht="30">
      <c r="A195" s="4" t="s">
        <v>313</v>
      </c>
      <c r="B195" s="4">
        <v>5268</v>
      </c>
      <c r="C195" s="5" t="s">
        <v>959</v>
      </c>
      <c r="D195" s="5" t="s">
        <v>960</v>
      </c>
      <c r="E195" s="5" t="s">
        <v>977</v>
      </c>
      <c r="F195" s="5" t="s">
        <v>978</v>
      </c>
      <c r="G195" s="4" t="s">
        <v>607</v>
      </c>
      <c r="H195" s="4" t="s">
        <v>607</v>
      </c>
      <c r="I195" s="4" t="s">
        <v>607</v>
      </c>
      <c r="K195" s="8" t="s">
        <v>979</v>
      </c>
    </row>
    <row r="196" spans="1:11">
      <c r="A196" s="4" t="s">
        <v>314</v>
      </c>
      <c r="B196" s="4">
        <v>6461</v>
      </c>
      <c r="C196" s="5" t="s">
        <v>959</v>
      </c>
      <c r="D196" s="5" t="s">
        <v>960</v>
      </c>
      <c r="E196" s="5" t="s">
        <v>980</v>
      </c>
      <c r="F196" s="5" t="s">
        <v>981</v>
      </c>
      <c r="G196" s="4" t="s">
        <v>607</v>
      </c>
    </row>
    <row r="197" spans="1:11" ht="30">
      <c r="A197" s="4" t="s">
        <v>315</v>
      </c>
      <c r="B197" s="4">
        <v>10280</v>
      </c>
      <c r="C197" s="5" t="s">
        <v>982</v>
      </c>
      <c r="D197" s="5" t="s">
        <v>982</v>
      </c>
      <c r="E197" s="5" t="s">
        <v>983</v>
      </c>
      <c r="F197" s="5" t="s">
        <v>984</v>
      </c>
      <c r="G197" s="4" t="s">
        <v>607</v>
      </c>
      <c r="H197" s="4" t="s">
        <v>607</v>
      </c>
      <c r="I197" s="4" t="s">
        <v>607</v>
      </c>
      <c r="K197" s="8" t="s">
        <v>867</v>
      </c>
    </row>
    <row r="198" spans="1:11">
      <c r="A198" s="4" t="s">
        <v>316</v>
      </c>
      <c r="B198" s="4">
        <v>6565</v>
      </c>
      <c r="K198" s="4" t="s">
        <v>1000</v>
      </c>
    </row>
    <row r="199" spans="1:11">
      <c r="A199" s="4" t="s">
        <v>317</v>
      </c>
      <c r="B199" s="4">
        <v>6510</v>
      </c>
      <c r="C199" s="5" t="s">
        <v>985</v>
      </c>
      <c r="D199" s="5" t="s">
        <v>986</v>
      </c>
      <c r="E199" s="5" t="s">
        <v>987</v>
      </c>
      <c r="F199" s="5" t="s">
        <v>988</v>
      </c>
      <c r="G199" s="4" t="s">
        <v>607</v>
      </c>
    </row>
    <row r="200" spans="1:11">
      <c r="A200" s="4" t="s">
        <v>318</v>
      </c>
      <c r="B200" s="4">
        <v>85414</v>
      </c>
      <c r="C200" s="5" t="s">
        <v>1001</v>
      </c>
      <c r="D200" s="5" t="s">
        <v>1002</v>
      </c>
      <c r="E200" s="5" t="s">
        <v>1003</v>
      </c>
      <c r="F200" s="5" t="s">
        <v>1004</v>
      </c>
      <c r="G200" s="4" t="s">
        <v>607</v>
      </c>
    </row>
    <row r="201" spans="1:11">
      <c r="A201" s="4" t="s">
        <v>319</v>
      </c>
      <c r="B201" s="4">
        <v>159963</v>
      </c>
      <c r="C201" s="5" t="s">
        <v>982</v>
      </c>
      <c r="D201" s="5" t="s">
        <v>989</v>
      </c>
      <c r="E201" s="5" t="s">
        <v>990</v>
      </c>
      <c r="F201" s="5" t="s">
        <v>991</v>
      </c>
      <c r="H201" s="4" t="s">
        <v>607</v>
      </c>
    </row>
    <row r="202" spans="1:11" ht="30">
      <c r="A202" s="4" t="s">
        <v>320</v>
      </c>
      <c r="B202" s="4">
        <v>11254</v>
      </c>
      <c r="C202" s="5" t="s">
        <v>992</v>
      </c>
      <c r="D202" s="5" t="s">
        <v>993</v>
      </c>
      <c r="E202" s="5" t="s">
        <v>994</v>
      </c>
      <c r="F202" s="5" t="s">
        <v>995</v>
      </c>
      <c r="G202" s="4" t="s">
        <v>607</v>
      </c>
      <c r="J202" s="4" t="s">
        <v>607</v>
      </c>
      <c r="K202" s="8" t="s">
        <v>996</v>
      </c>
    </row>
    <row r="203" spans="1:11" ht="30">
      <c r="A203" s="4" t="s">
        <v>321</v>
      </c>
      <c r="B203" s="4">
        <v>23428</v>
      </c>
      <c r="C203" s="5" t="s">
        <v>997</v>
      </c>
      <c r="D203" s="5" t="s">
        <v>997</v>
      </c>
      <c r="E203" s="5" t="s">
        <v>998</v>
      </c>
      <c r="F203" s="5" t="s">
        <v>998</v>
      </c>
      <c r="I203" s="4" t="s">
        <v>607</v>
      </c>
      <c r="K203" s="8" t="s">
        <v>999</v>
      </c>
    </row>
    <row r="204" spans="1:11" ht="30">
      <c r="A204" s="4" t="s">
        <v>322</v>
      </c>
      <c r="B204" s="4">
        <v>4088</v>
      </c>
      <c r="C204" s="5" t="s">
        <v>1005</v>
      </c>
      <c r="D204" s="5" t="s">
        <v>1006</v>
      </c>
      <c r="E204" s="5" t="s">
        <v>1007</v>
      </c>
      <c r="F204" s="5" t="s">
        <v>1008</v>
      </c>
      <c r="I204" s="4" t="s">
        <v>607</v>
      </c>
      <c r="K204" s="8" t="s">
        <v>999</v>
      </c>
    </row>
    <row r="205" spans="1:11" ht="30">
      <c r="A205" s="4" t="s">
        <v>323</v>
      </c>
      <c r="B205" s="4">
        <v>4089</v>
      </c>
      <c r="C205" s="5" t="s">
        <v>993</v>
      </c>
      <c r="D205" s="5" t="s">
        <v>993</v>
      </c>
      <c r="E205" s="5" t="s">
        <v>1009</v>
      </c>
      <c r="F205" s="5" t="s">
        <v>995</v>
      </c>
      <c r="I205" s="4" t="s">
        <v>607</v>
      </c>
      <c r="K205" s="8" t="s">
        <v>797</v>
      </c>
    </row>
    <row r="206" spans="1:11">
      <c r="A206" s="4" t="s">
        <v>324</v>
      </c>
      <c r="B206" s="4">
        <v>10051</v>
      </c>
      <c r="C206" s="5" t="s">
        <v>1010</v>
      </c>
      <c r="D206" s="5" t="s">
        <v>1005</v>
      </c>
      <c r="E206" s="5" t="s">
        <v>1011</v>
      </c>
      <c r="F206" s="5" t="s">
        <v>1012</v>
      </c>
      <c r="G206" s="4" t="s">
        <v>607</v>
      </c>
    </row>
    <row r="207" spans="1:11">
      <c r="A207" s="4" t="s">
        <v>325</v>
      </c>
      <c r="B207" s="4">
        <v>10924</v>
      </c>
      <c r="C207" s="5" t="s">
        <v>982</v>
      </c>
      <c r="D207" s="5" t="s">
        <v>982</v>
      </c>
      <c r="E207" s="5" t="s">
        <v>1013</v>
      </c>
      <c r="F207" s="5" t="s">
        <v>990</v>
      </c>
      <c r="G207" s="4" t="s">
        <v>607</v>
      </c>
      <c r="K207" s="4" t="s">
        <v>1014</v>
      </c>
    </row>
    <row r="208" spans="1:11">
      <c r="A208" s="4" t="s">
        <v>326</v>
      </c>
      <c r="B208" s="4">
        <v>6657</v>
      </c>
      <c r="C208" s="5" t="s">
        <v>1015</v>
      </c>
      <c r="D208" s="5" t="s">
        <v>1015</v>
      </c>
      <c r="E208" s="5" t="s">
        <v>1016</v>
      </c>
      <c r="F208" s="5" t="s">
        <v>1016</v>
      </c>
      <c r="I208" s="4" t="s">
        <v>607</v>
      </c>
    </row>
    <row r="209" spans="1:11">
      <c r="A209" s="4" t="s">
        <v>327</v>
      </c>
      <c r="B209" s="4">
        <v>6662</v>
      </c>
      <c r="C209" s="5" t="s">
        <v>985</v>
      </c>
      <c r="D209" s="5" t="s">
        <v>986</v>
      </c>
      <c r="E209" s="5" t="s">
        <v>1013</v>
      </c>
      <c r="F209" s="5" t="s">
        <v>990</v>
      </c>
      <c r="G209" s="4" t="s">
        <v>607</v>
      </c>
    </row>
    <row r="210" spans="1:11">
      <c r="A210" s="4" t="s">
        <v>328</v>
      </c>
      <c r="B210" s="4">
        <v>6690</v>
      </c>
      <c r="C210" s="5" t="s">
        <v>992</v>
      </c>
      <c r="D210" s="5" t="s">
        <v>993</v>
      </c>
      <c r="E210" s="5" t="s">
        <v>1009</v>
      </c>
      <c r="F210" s="5" t="s">
        <v>995</v>
      </c>
      <c r="G210" s="4" t="s">
        <v>607</v>
      </c>
    </row>
    <row r="211" spans="1:11">
      <c r="A211" s="4" t="s">
        <v>329</v>
      </c>
      <c r="B211" s="4">
        <v>6714</v>
      </c>
      <c r="C211" s="5" t="s">
        <v>1017</v>
      </c>
      <c r="D211" s="5" t="s">
        <v>1005</v>
      </c>
      <c r="E211" s="5" t="s">
        <v>1018</v>
      </c>
      <c r="F211" s="5" t="s">
        <v>1019</v>
      </c>
      <c r="G211" s="4" t="s">
        <v>607</v>
      </c>
    </row>
    <row r="212" spans="1:11">
      <c r="A212" s="4" t="s">
        <v>330</v>
      </c>
      <c r="B212" s="4">
        <v>6716</v>
      </c>
      <c r="K212" s="4" t="s">
        <v>1000</v>
      </c>
    </row>
    <row r="213" spans="1:11">
      <c r="A213" s="4" t="s">
        <v>331</v>
      </c>
      <c r="B213" s="4">
        <v>6727</v>
      </c>
      <c r="K213" s="4" t="s">
        <v>1000</v>
      </c>
    </row>
    <row r="214" spans="1:11" ht="30">
      <c r="A214" s="4" t="s">
        <v>332</v>
      </c>
      <c r="B214" s="4">
        <v>10809</v>
      </c>
      <c r="C214" s="5" t="s">
        <v>1023</v>
      </c>
      <c r="D214" s="5" t="s">
        <v>993</v>
      </c>
      <c r="E214" s="5" t="s">
        <v>994</v>
      </c>
      <c r="F214" s="5" t="s">
        <v>995</v>
      </c>
      <c r="G214" s="4" t="s">
        <v>607</v>
      </c>
      <c r="H214" s="4" t="s">
        <v>607</v>
      </c>
      <c r="I214" s="4" t="s">
        <v>607</v>
      </c>
      <c r="K214" s="8" t="s">
        <v>979</v>
      </c>
    </row>
    <row r="215" spans="1:11" ht="30">
      <c r="A215" s="4" t="s">
        <v>333</v>
      </c>
      <c r="B215" s="4">
        <v>6774</v>
      </c>
      <c r="C215" s="5" t="s">
        <v>997</v>
      </c>
      <c r="D215" s="5" t="s">
        <v>1020</v>
      </c>
      <c r="E215" s="5" t="s">
        <v>1021</v>
      </c>
      <c r="F215" s="5" t="s">
        <v>1022</v>
      </c>
      <c r="G215" s="4" t="s">
        <v>607</v>
      </c>
      <c r="H215" s="4" t="s">
        <v>607</v>
      </c>
      <c r="I215" s="4" t="s">
        <v>607</v>
      </c>
      <c r="K215" s="8" t="s">
        <v>979</v>
      </c>
    </row>
    <row r="216" spans="1:11" ht="30">
      <c r="A216" s="4" t="s">
        <v>334</v>
      </c>
      <c r="B216" s="4">
        <v>6776</v>
      </c>
      <c r="C216" s="5" t="s">
        <v>1024</v>
      </c>
      <c r="D216" s="5" t="s">
        <v>1016</v>
      </c>
      <c r="E216" s="5" t="s">
        <v>1025</v>
      </c>
      <c r="F216" s="5" t="s">
        <v>1026</v>
      </c>
      <c r="G216" s="4" t="s">
        <v>607</v>
      </c>
      <c r="H216" s="4" t="s">
        <v>607</v>
      </c>
      <c r="I216" s="4" t="s">
        <v>607</v>
      </c>
      <c r="K216" s="8" t="s">
        <v>999</v>
      </c>
    </row>
    <row r="217" spans="1:11" ht="30">
      <c r="A217" s="4" t="s">
        <v>335</v>
      </c>
      <c r="B217" s="4">
        <v>6822</v>
      </c>
      <c r="C217" s="5" t="s">
        <v>1027</v>
      </c>
      <c r="D217" s="5" t="s">
        <v>1028</v>
      </c>
      <c r="E217" s="5" t="s">
        <v>1029</v>
      </c>
      <c r="F217" s="5" t="s">
        <v>1030</v>
      </c>
      <c r="G217" s="4" t="s">
        <v>607</v>
      </c>
      <c r="H217" s="4" t="s">
        <v>607</v>
      </c>
      <c r="I217" s="4" t="s">
        <v>607</v>
      </c>
      <c r="K217" s="8" t="s">
        <v>999</v>
      </c>
    </row>
    <row r="218" spans="1:11" ht="30">
      <c r="A218" s="4" t="s">
        <v>336</v>
      </c>
      <c r="B218" s="4">
        <v>54823</v>
      </c>
      <c r="C218" s="5" t="s">
        <v>1031</v>
      </c>
      <c r="D218" s="5" t="s">
        <v>1032</v>
      </c>
      <c r="E218" s="5" t="s">
        <v>1033</v>
      </c>
      <c r="F218" s="5" t="s">
        <v>1034</v>
      </c>
      <c r="G218" s="4" t="s">
        <v>607</v>
      </c>
      <c r="H218" s="4" t="s">
        <v>607</v>
      </c>
      <c r="I218" s="4" t="s">
        <v>607</v>
      </c>
      <c r="K218" s="8" t="s">
        <v>867</v>
      </c>
    </row>
    <row r="219" spans="1:11" ht="30">
      <c r="A219" s="4" t="s">
        <v>337</v>
      </c>
      <c r="B219" s="4">
        <v>10579</v>
      </c>
      <c r="C219" s="5" t="s">
        <v>1036</v>
      </c>
      <c r="D219" s="5" t="s">
        <v>1037</v>
      </c>
      <c r="E219" s="5" t="s">
        <v>1038</v>
      </c>
      <c r="F219" s="5" t="s">
        <v>1039</v>
      </c>
      <c r="G219" s="4" t="s">
        <v>607</v>
      </c>
      <c r="H219" s="4" t="s">
        <v>607</v>
      </c>
      <c r="I219" s="4" t="s">
        <v>607</v>
      </c>
      <c r="K219" s="8" t="s">
        <v>867</v>
      </c>
    </row>
    <row r="220" spans="1:11">
      <c r="A220" s="4" t="s">
        <v>338</v>
      </c>
      <c r="B220" s="4">
        <v>10629</v>
      </c>
      <c r="C220" s="5" t="s">
        <v>1040</v>
      </c>
      <c r="D220" s="5" t="s">
        <v>1040</v>
      </c>
      <c r="E220" s="5" t="s">
        <v>1041</v>
      </c>
      <c r="F220" s="5" t="s">
        <v>1039</v>
      </c>
      <c r="I220" s="4" t="s">
        <v>607</v>
      </c>
    </row>
    <row r="221" spans="1:11">
      <c r="A221" s="4" t="s">
        <v>339</v>
      </c>
      <c r="B221" s="4">
        <v>7006</v>
      </c>
      <c r="C221" s="5" t="s">
        <v>1032</v>
      </c>
      <c r="D221" s="5" t="s">
        <v>1032</v>
      </c>
      <c r="E221" s="5" t="s">
        <v>1042</v>
      </c>
      <c r="F221" s="5" t="s">
        <v>1043</v>
      </c>
      <c r="I221" s="4" t="s">
        <v>607</v>
      </c>
    </row>
    <row r="222" spans="1:11">
      <c r="A222" s="4" t="s">
        <v>340</v>
      </c>
      <c r="B222" s="4">
        <v>7027</v>
      </c>
      <c r="C222" s="5" t="s">
        <v>1031</v>
      </c>
      <c r="D222" s="5" t="s">
        <v>1032</v>
      </c>
      <c r="E222" s="5" t="s">
        <v>1044</v>
      </c>
      <c r="F222" s="5" t="s">
        <v>1034</v>
      </c>
      <c r="G222" s="4" t="s">
        <v>607</v>
      </c>
    </row>
    <row r="223" spans="1:11">
      <c r="A223" s="4" t="s">
        <v>341</v>
      </c>
      <c r="B223" s="4">
        <v>7039</v>
      </c>
      <c r="C223" s="5" t="s">
        <v>1031</v>
      </c>
      <c r="D223" s="5" t="s">
        <v>1032</v>
      </c>
      <c r="E223" s="5" t="s">
        <v>1045</v>
      </c>
      <c r="F223" s="5" t="s">
        <v>1034</v>
      </c>
      <c r="G223" s="4" t="s">
        <v>607</v>
      </c>
    </row>
    <row r="224" spans="1:11">
      <c r="A224" s="4" t="s">
        <v>342</v>
      </c>
      <c r="B224" s="4">
        <v>7043</v>
      </c>
      <c r="K224" s="4" t="s">
        <v>1046</v>
      </c>
    </row>
    <row r="225" spans="1:11">
      <c r="A225" s="4" t="s">
        <v>343</v>
      </c>
      <c r="B225" s="4">
        <v>221981</v>
      </c>
      <c r="C225" s="5" t="s">
        <v>1040</v>
      </c>
      <c r="D225" s="5" t="s">
        <v>1047</v>
      </c>
      <c r="E225" s="5" t="s">
        <v>1039</v>
      </c>
      <c r="F225" s="5" t="s">
        <v>1039</v>
      </c>
      <c r="I225" s="4" t="s">
        <v>607</v>
      </c>
    </row>
    <row r="226" spans="1:11">
      <c r="A226" s="4" t="s">
        <v>344</v>
      </c>
      <c r="B226" s="4">
        <v>7127</v>
      </c>
      <c r="C226" s="5" t="s">
        <v>1035</v>
      </c>
      <c r="D226" s="5" t="s">
        <v>1032</v>
      </c>
      <c r="E226" s="5" t="s">
        <v>1048</v>
      </c>
      <c r="F226" s="5" t="s">
        <v>1049</v>
      </c>
      <c r="I226" s="4" t="s">
        <v>607</v>
      </c>
    </row>
    <row r="227" spans="1:11" ht="30">
      <c r="A227" s="4" t="s">
        <v>345</v>
      </c>
      <c r="B227" s="4">
        <v>7153</v>
      </c>
      <c r="C227" s="5" t="s">
        <v>1028</v>
      </c>
      <c r="D227" s="5" t="s">
        <v>1050</v>
      </c>
      <c r="E227" s="5" t="s">
        <v>1051</v>
      </c>
      <c r="F227" s="5" t="s">
        <v>1052</v>
      </c>
      <c r="I227" s="4" t="s">
        <v>607</v>
      </c>
      <c r="K227" s="8" t="s">
        <v>797</v>
      </c>
    </row>
    <row r="228" spans="1:11" ht="30">
      <c r="A228" s="4" t="s">
        <v>346</v>
      </c>
      <c r="B228" s="4">
        <v>7157</v>
      </c>
      <c r="C228" s="5" t="s">
        <v>1053</v>
      </c>
      <c r="D228" s="5" t="s">
        <v>1054</v>
      </c>
      <c r="E228" s="5" t="s">
        <v>1055</v>
      </c>
      <c r="F228" s="5" t="s">
        <v>1056</v>
      </c>
      <c r="I228" s="4" t="s">
        <v>607</v>
      </c>
      <c r="K228" s="8" t="s">
        <v>797</v>
      </c>
    </row>
    <row r="229" spans="1:11">
      <c r="A229" s="4" t="s">
        <v>347</v>
      </c>
      <c r="B229" s="4">
        <v>8626</v>
      </c>
      <c r="C229" s="5" t="s">
        <v>1057</v>
      </c>
      <c r="D229" s="5" t="s">
        <v>1037</v>
      </c>
      <c r="E229" s="5" t="s">
        <v>1058</v>
      </c>
      <c r="F229" s="5" t="s">
        <v>1059</v>
      </c>
      <c r="G229" s="4" t="s">
        <v>607</v>
      </c>
    </row>
    <row r="230" spans="1:11" ht="30">
      <c r="A230" s="4" t="s">
        <v>348</v>
      </c>
      <c r="B230" s="4">
        <v>23650</v>
      </c>
      <c r="C230" s="5" t="s">
        <v>1060</v>
      </c>
      <c r="D230" s="5" t="s">
        <v>1037</v>
      </c>
      <c r="E230" s="5" t="s">
        <v>1061</v>
      </c>
      <c r="F230" s="5" t="s">
        <v>1062</v>
      </c>
      <c r="I230" s="4" t="s">
        <v>607</v>
      </c>
      <c r="K230" s="8" t="s">
        <v>1063</v>
      </c>
    </row>
    <row r="231" spans="1:11">
      <c r="A231" s="4" t="s">
        <v>349</v>
      </c>
      <c r="B231" s="4">
        <v>7253</v>
      </c>
      <c r="C231" s="5" t="s">
        <v>1040</v>
      </c>
      <c r="D231" s="5" t="s">
        <v>1040</v>
      </c>
      <c r="E231" s="5" t="s">
        <v>1039</v>
      </c>
      <c r="F231" s="5" t="s">
        <v>1039</v>
      </c>
      <c r="I231" s="4" t="s">
        <v>607</v>
      </c>
    </row>
    <row r="232" spans="1:11" ht="30">
      <c r="A232" s="4" t="s">
        <v>350</v>
      </c>
      <c r="B232" s="4">
        <v>7286</v>
      </c>
      <c r="C232" s="5" t="s">
        <v>1064</v>
      </c>
      <c r="D232" s="5" t="s">
        <v>1064</v>
      </c>
      <c r="E232" s="5" t="s">
        <v>1065</v>
      </c>
      <c r="F232" s="5" t="s">
        <v>1066</v>
      </c>
      <c r="G232" s="4" t="s">
        <v>607</v>
      </c>
      <c r="H232" s="4" t="s">
        <v>607</v>
      </c>
      <c r="I232" s="4" t="s">
        <v>607</v>
      </c>
      <c r="K232" s="8" t="s">
        <v>867</v>
      </c>
    </row>
    <row r="233" spans="1:11">
      <c r="A233" s="4" t="s">
        <v>351</v>
      </c>
      <c r="B233" s="4">
        <v>54957</v>
      </c>
      <c r="K233" s="4" t="s">
        <v>1067</v>
      </c>
    </row>
    <row r="234" spans="1:11">
      <c r="A234" s="4" t="s">
        <v>352</v>
      </c>
      <c r="B234" s="4">
        <v>7301</v>
      </c>
      <c r="C234" s="5" t="s">
        <v>1068</v>
      </c>
      <c r="D234" s="5" t="s">
        <v>1068</v>
      </c>
      <c r="E234" s="5" t="s">
        <v>1069</v>
      </c>
      <c r="F234" s="5" t="s">
        <v>1070</v>
      </c>
      <c r="I234" s="4" t="s">
        <v>607</v>
      </c>
    </row>
    <row r="235" spans="1:11">
      <c r="A235" s="4" t="s">
        <v>353</v>
      </c>
      <c r="B235" s="4">
        <v>9246</v>
      </c>
      <c r="C235" s="5" t="s">
        <v>1071</v>
      </c>
      <c r="D235" s="5" t="s">
        <v>1072</v>
      </c>
      <c r="E235" s="5" t="s">
        <v>1073</v>
      </c>
      <c r="F235" s="5" t="s">
        <v>1074</v>
      </c>
      <c r="G235" s="4" t="s">
        <v>607</v>
      </c>
    </row>
    <row r="236" spans="1:11" ht="30">
      <c r="A236" s="4" t="s">
        <v>354</v>
      </c>
      <c r="B236" s="4">
        <v>9094</v>
      </c>
      <c r="C236" s="5" t="s">
        <v>1075</v>
      </c>
      <c r="D236" s="5" t="s">
        <v>1068</v>
      </c>
      <c r="E236" s="5" t="s">
        <v>1076</v>
      </c>
      <c r="F236" s="5" t="s">
        <v>1077</v>
      </c>
      <c r="I236" s="4" t="s">
        <v>607</v>
      </c>
      <c r="K236" s="8" t="s">
        <v>797</v>
      </c>
    </row>
    <row r="237" spans="1:11">
      <c r="A237" s="4" t="s">
        <v>355</v>
      </c>
      <c r="B237" s="4">
        <v>389136</v>
      </c>
      <c r="C237" s="5" t="s">
        <v>1078</v>
      </c>
      <c r="D237" s="5" t="s">
        <v>1079</v>
      </c>
      <c r="E237" s="5" t="s">
        <v>1080</v>
      </c>
      <c r="F237" s="5" t="s">
        <v>1070</v>
      </c>
      <c r="G237" s="4" t="s">
        <v>607</v>
      </c>
    </row>
    <row r="238" spans="1:11">
      <c r="A238" s="4" t="s">
        <v>356</v>
      </c>
      <c r="B238" s="4">
        <v>80335</v>
      </c>
      <c r="K238" s="4" t="s">
        <v>1067</v>
      </c>
    </row>
    <row r="239" spans="1:11">
      <c r="A239" s="4" t="s">
        <v>357</v>
      </c>
      <c r="B239" s="4">
        <v>7468</v>
      </c>
      <c r="C239" s="5" t="s">
        <v>1081</v>
      </c>
      <c r="D239" s="5" t="s">
        <v>1079</v>
      </c>
      <c r="E239" s="5" t="s">
        <v>1082</v>
      </c>
      <c r="F239" s="5" t="s">
        <v>1070</v>
      </c>
      <c r="G239" s="4" t="s">
        <v>607</v>
      </c>
    </row>
    <row r="240" spans="1:11">
      <c r="A240" s="4" t="s">
        <v>358</v>
      </c>
      <c r="B240" s="4">
        <v>7474</v>
      </c>
      <c r="K240" s="4" t="s">
        <v>1067</v>
      </c>
    </row>
    <row r="241" spans="1:11">
      <c r="A241" s="4" t="s">
        <v>359</v>
      </c>
      <c r="B241" s="4">
        <v>49856</v>
      </c>
      <c r="C241" s="5" t="s">
        <v>1083</v>
      </c>
      <c r="D241" s="5" t="s">
        <v>1084</v>
      </c>
      <c r="E241" s="5" t="s">
        <v>1085</v>
      </c>
      <c r="F241" s="5" t="s">
        <v>1085</v>
      </c>
      <c r="I241" s="4" t="s">
        <v>607</v>
      </c>
    </row>
    <row r="242" spans="1:11">
      <c r="A242" s="4" t="s">
        <v>360</v>
      </c>
      <c r="B242" s="4">
        <v>51741</v>
      </c>
      <c r="C242" s="5" t="s">
        <v>1086</v>
      </c>
      <c r="D242" s="5" t="s">
        <v>1084</v>
      </c>
      <c r="E242" s="5" t="s">
        <v>1087</v>
      </c>
      <c r="F242" s="5" t="s">
        <v>1077</v>
      </c>
      <c r="G242" s="4" t="s">
        <v>607</v>
      </c>
    </row>
    <row r="243" spans="1:11">
      <c r="A243" s="4" t="s">
        <v>361</v>
      </c>
      <c r="B243" s="4">
        <v>220930</v>
      </c>
      <c r="K243" s="4" t="s">
        <v>1067</v>
      </c>
    </row>
    <row r="244" spans="1:11">
      <c r="A244" s="4" t="s">
        <v>362</v>
      </c>
      <c r="B244" s="4">
        <v>7753</v>
      </c>
      <c r="K244" s="4" t="s">
        <v>1067</v>
      </c>
    </row>
    <row r="245" spans="1:11">
      <c r="A245" s="4" t="s">
        <v>363</v>
      </c>
      <c r="B245" s="4">
        <v>55713</v>
      </c>
      <c r="C245" s="5" t="s">
        <v>1084</v>
      </c>
      <c r="D245" s="5" t="s">
        <v>1083</v>
      </c>
      <c r="E245" s="5" t="s">
        <v>1090</v>
      </c>
      <c r="F245" s="5" t="s">
        <v>1077</v>
      </c>
      <c r="H245" s="4" t="s">
        <v>607</v>
      </c>
    </row>
    <row r="246" spans="1:11">
      <c r="A246" s="4" t="s">
        <v>364</v>
      </c>
      <c r="B246" s="4">
        <v>127396</v>
      </c>
      <c r="C246" s="5" t="s">
        <v>1079</v>
      </c>
      <c r="D246" s="5" t="s">
        <v>1079</v>
      </c>
      <c r="E246" s="5" t="s">
        <v>1089</v>
      </c>
      <c r="F246" s="5" t="s">
        <v>1089</v>
      </c>
      <c r="I246" s="4" t="s">
        <v>607</v>
      </c>
    </row>
    <row r="247" spans="1:11" ht="30">
      <c r="A247" s="4" t="s">
        <v>365</v>
      </c>
      <c r="B247" s="4">
        <v>7553</v>
      </c>
      <c r="C247" s="5" t="s">
        <v>1075</v>
      </c>
      <c r="D247" s="5" t="s">
        <v>1075</v>
      </c>
      <c r="E247" s="5" t="s">
        <v>1088</v>
      </c>
      <c r="F247" s="5" t="s">
        <v>1089</v>
      </c>
      <c r="G247" s="4" t="s">
        <v>607</v>
      </c>
      <c r="H247" s="4" t="s">
        <v>607</v>
      </c>
      <c r="I247" s="4" t="s">
        <v>607</v>
      </c>
      <c r="K247" s="8" t="s">
        <v>867</v>
      </c>
    </row>
    <row r="248" spans="1:11">
      <c r="A248" s="4" t="s">
        <v>366</v>
      </c>
      <c r="B248" s="4">
        <v>146050</v>
      </c>
      <c r="C248" s="5" t="s">
        <v>1091</v>
      </c>
      <c r="D248" s="5" t="s">
        <v>1068</v>
      </c>
      <c r="E248" s="5" t="s">
        <v>1092</v>
      </c>
      <c r="F248" s="5" t="s">
        <v>1089</v>
      </c>
      <c r="G248" s="4" t="s">
        <v>607</v>
      </c>
    </row>
  </sheetData>
  <autoFilter ref="A1:K248" xr:uid="{00000000-0001-0000-0200-000000000000}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3835-B7F6-4B87-9F5E-16B2AE6AAF7B}">
  <dimension ref="A1:I1048571"/>
  <sheetViews>
    <sheetView zoomScaleNormal="100" workbookViewId="0">
      <pane ySplit="1" topLeftCell="A2" activePane="bottomLeft" state="frozen"/>
      <selection pane="bottomLeft" activeCell="F2" sqref="F2"/>
    </sheetView>
  </sheetViews>
  <sheetFormatPr defaultRowHeight="15"/>
  <cols>
    <col min="1" max="1" width="10.28515625" style="4" bestFit="1" customWidth="1"/>
    <col min="2" max="2" width="7" style="4" bestFit="1" customWidth="1"/>
    <col min="3" max="3" width="8.42578125" style="4" bestFit="1" customWidth="1"/>
    <col min="4" max="4" width="36.85546875" style="4" bestFit="1" customWidth="1"/>
    <col min="5" max="5" width="20.7109375" bestFit="1" customWidth="1"/>
    <col min="6" max="7" width="19.42578125" bestFit="1" customWidth="1"/>
    <col min="8" max="8" width="20.7109375" bestFit="1" customWidth="1"/>
  </cols>
  <sheetData>
    <row r="1" spans="1:9" ht="45">
      <c r="A1" s="1" t="s">
        <v>0</v>
      </c>
      <c r="B1" s="1" t="s">
        <v>1</v>
      </c>
      <c r="C1" s="3" t="s">
        <v>382</v>
      </c>
      <c r="D1" s="1" t="s">
        <v>367</v>
      </c>
      <c r="E1" s="3" t="s">
        <v>1095</v>
      </c>
      <c r="F1" s="3" t="s">
        <v>1096</v>
      </c>
      <c r="G1" s="3" t="s">
        <v>1098</v>
      </c>
      <c r="H1" s="3" t="s">
        <v>1099</v>
      </c>
      <c r="I1" s="3" t="s">
        <v>1104</v>
      </c>
    </row>
    <row r="2" spans="1:9" ht="30">
      <c r="A2" s="4" t="s">
        <v>120</v>
      </c>
      <c r="B2" s="4">
        <v>21</v>
      </c>
      <c r="E2" s="8" t="s">
        <v>1093</v>
      </c>
      <c r="F2" s="4" t="s">
        <v>1109</v>
      </c>
      <c r="G2" s="4" t="s">
        <v>1109</v>
      </c>
      <c r="H2" s="4" t="s">
        <v>1108</v>
      </c>
      <c r="I2">
        <f>COUNTIF(E2:H2,"Y")</f>
        <v>1</v>
      </c>
    </row>
    <row r="3" spans="1:9">
      <c r="A3" s="4" t="s">
        <v>121</v>
      </c>
      <c r="B3" s="4">
        <v>27034</v>
      </c>
      <c r="E3" s="4" t="s">
        <v>1109</v>
      </c>
      <c r="F3" s="4" t="s">
        <v>1109</v>
      </c>
      <c r="G3" s="4" t="s">
        <v>1108</v>
      </c>
      <c r="H3" s="4" t="s">
        <v>1109</v>
      </c>
      <c r="I3">
        <f>COUNTIF(E3:H3,"Y")</f>
        <v>1</v>
      </c>
    </row>
    <row r="4" spans="1:9" ht="45">
      <c r="A4" s="4" t="s">
        <v>127</v>
      </c>
      <c r="B4" s="4">
        <v>23600</v>
      </c>
      <c r="D4" s="4" t="s">
        <v>564</v>
      </c>
      <c r="E4" s="4" t="s">
        <v>1109</v>
      </c>
      <c r="F4" s="4" t="s">
        <v>1109</v>
      </c>
      <c r="G4" s="4" t="s">
        <v>1108</v>
      </c>
      <c r="H4" s="8" t="s">
        <v>1097</v>
      </c>
      <c r="I4">
        <f>COUNTIF(E4:H4,"Y")</f>
        <v>1</v>
      </c>
    </row>
    <row r="5" spans="1:9">
      <c r="A5" s="4" t="s">
        <v>91</v>
      </c>
      <c r="B5" s="4">
        <v>262</v>
      </c>
      <c r="E5" s="4" t="s">
        <v>1109</v>
      </c>
      <c r="F5" s="4" t="s">
        <v>1108</v>
      </c>
      <c r="G5" s="4" t="s">
        <v>1108</v>
      </c>
      <c r="H5" s="4" t="s">
        <v>1109</v>
      </c>
      <c r="I5">
        <f>COUNTIF(E5:H5,"Y")</f>
        <v>2</v>
      </c>
    </row>
    <row r="6" spans="1:9" ht="45">
      <c r="A6" s="4" t="s">
        <v>131</v>
      </c>
      <c r="B6" s="4">
        <v>301</v>
      </c>
      <c r="D6" s="8" t="s">
        <v>630</v>
      </c>
      <c r="E6" s="8" t="s">
        <v>1093</v>
      </c>
      <c r="F6" s="4" t="s">
        <v>1109</v>
      </c>
      <c r="G6" s="4" t="s">
        <v>1109</v>
      </c>
      <c r="H6" s="4" t="s">
        <v>1109</v>
      </c>
      <c r="I6">
        <f>COUNTIF(E6:H6,"Y")</f>
        <v>0</v>
      </c>
    </row>
    <row r="7" spans="1:9" ht="45">
      <c r="A7" s="4" t="s">
        <v>7</v>
      </c>
      <c r="B7" s="4">
        <v>8905</v>
      </c>
      <c r="D7" s="4" t="s">
        <v>442</v>
      </c>
      <c r="E7" s="4" t="s">
        <v>1109</v>
      </c>
      <c r="F7" s="4" t="s">
        <v>1109</v>
      </c>
      <c r="G7" s="4" t="s">
        <v>1109</v>
      </c>
      <c r="H7" s="8" t="s">
        <v>1097</v>
      </c>
      <c r="I7">
        <f>COUNTIF(E7:H7,"Y")</f>
        <v>0</v>
      </c>
    </row>
    <row r="8" spans="1:9" ht="45">
      <c r="A8" s="4" t="s">
        <v>133</v>
      </c>
      <c r="B8" s="4">
        <v>324</v>
      </c>
      <c r="C8" s="4" t="s">
        <v>1108</v>
      </c>
      <c r="D8" s="8" t="s">
        <v>595</v>
      </c>
      <c r="E8" s="4" t="s">
        <v>1109</v>
      </c>
      <c r="F8" s="4" t="s">
        <v>1109</v>
      </c>
      <c r="G8" s="4" t="s">
        <v>1109</v>
      </c>
      <c r="H8" s="4" t="s">
        <v>1109</v>
      </c>
      <c r="I8">
        <f>COUNTIF(E8:H8,"Y")</f>
        <v>0</v>
      </c>
    </row>
    <row r="9" spans="1:9">
      <c r="A9" s="4" t="s">
        <v>134</v>
      </c>
      <c r="B9" s="4">
        <v>367</v>
      </c>
      <c r="E9" s="4" t="s">
        <v>1108</v>
      </c>
      <c r="F9" s="4" t="s">
        <v>1108</v>
      </c>
      <c r="G9" s="4" t="s">
        <v>1108</v>
      </c>
      <c r="H9" s="4" t="s">
        <v>1108</v>
      </c>
      <c r="I9">
        <f>COUNTIF(E9:H9,"Y")</f>
        <v>4</v>
      </c>
    </row>
    <row r="10" spans="1:9">
      <c r="A10" s="4" t="s">
        <v>136</v>
      </c>
      <c r="B10" s="4">
        <v>467</v>
      </c>
      <c r="E10" s="4" t="s">
        <v>1109</v>
      </c>
      <c r="F10" s="4" t="s">
        <v>1109</v>
      </c>
      <c r="G10" s="4" t="s">
        <v>1109</v>
      </c>
      <c r="H10" s="4" t="s">
        <v>1108</v>
      </c>
      <c r="I10">
        <f>COUNTIF(E10:H10,"Y")</f>
        <v>1</v>
      </c>
    </row>
    <row r="11" spans="1:9" ht="45">
      <c r="A11" s="4" t="s">
        <v>137</v>
      </c>
      <c r="B11" s="4">
        <v>26053</v>
      </c>
      <c r="E11" s="8" t="s">
        <v>1093</v>
      </c>
      <c r="F11" s="4" t="s">
        <v>1109</v>
      </c>
      <c r="G11" s="4" t="s">
        <v>1109</v>
      </c>
      <c r="H11" s="8" t="s">
        <v>1097</v>
      </c>
      <c r="I11">
        <f>COUNTIF(E11:H11,"Y")</f>
        <v>0</v>
      </c>
    </row>
    <row r="12" spans="1:9">
      <c r="A12" s="4" t="s">
        <v>92</v>
      </c>
      <c r="B12" s="4">
        <v>563</v>
      </c>
      <c r="E12" s="4" t="s">
        <v>1108</v>
      </c>
      <c r="F12" s="4" t="s">
        <v>1108</v>
      </c>
      <c r="G12" s="4" t="s">
        <v>1108</v>
      </c>
      <c r="H12" s="4" t="s">
        <v>1108</v>
      </c>
      <c r="I12">
        <f>COUNTIF(E12:H12,"Y")</f>
        <v>4</v>
      </c>
    </row>
    <row r="13" spans="1:9">
      <c r="A13" s="4" t="s">
        <v>10</v>
      </c>
      <c r="B13" s="4">
        <v>54796</v>
      </c>
      <c r="D13" s="4" t="s">
        <v>442</v>
      </c>
      <c r="E13" s="4" t="s">
        <v>1109</v>
      </c>
      <c r="F13" s="4" t="s">
        <v>1109</v>
      </c>
      <c r="G13" s="4" t="s">
        <v>1109</v>
      </c>
      <c r="H13" s="4" t="s">
        <v>1109</v>
      </c>
      <c r="I13">
        <f>COUNTIF(E13:H13,"Y")</f>
        <v>0</v>
      </c>
    </row>
    <row r="14" spans="1:9" ht="45">
      <c r="A14" s="4" t="s">
        <v>141</v>
      </c>
      <c r="B14" s="4">
        <v>80262</v>
      </c>
      <c r="E14" s="4" t="s">
        <v>1109</v>
      </c>
      <c r="F14" s="8" t="s">
        <v>1093</v>
      </c>
      <c r="G14" s="8" t="s">
        <v>1097</v>
      </c>
      <c r="H14" s="4" t="s">
        <v>1109</v>
      </c>
      <c r="I14">
        <f>COUNTIF(E14:H14,"Y")</f>
        <v>0</v>
      </c>
    </row>
    <row r="15" spans="1:9">
      <c r="A15" s="4" t="s">
        <v>152</v>
      </c>
      <c r="B15" s="4">
        <v>847</v>
      </c>
      <c r="E15" s="4" t="s">
        <v>1109</v>
      </c>
      <c r="F15" s="4" t="s">
        <v>1109</v>
      </c>
      <c r="G15" s="4" t="s">
        <v>1109</v>
      </c>
      <c r="H15" s="4" t="s">
        <v>1108</v>
      </c>
      <c r="I15">
        <f>COUNTIF(E15:H15,"Y")</f>
        <v>1</v>
      </c>
    </row>
    <row r="16" spans="1:9">
      <c r="A16" s="4" t="s">
        <v>153</v>
      </c>
      <c r="B16" s="4">
        <v>868</v>
      </c>
      <c r="E16" s="4" t="s">
        <v>1109</v>
      </c>
      <c r="F16" s="4" t="s">
        <v>1109</v>
      </c>
      <c r="G16" s="4" t="s">
        <v>1109</v>
      </c>
      <c r="H16" s="4" t="s">
        <v>1109</v>
      </c>
      <c r="I16">
        <f>COUNTIF(E16:H16,"Y")</f>
        <v>0</v>
      </c>
    </row>
    <row r="17" spans="1:9" ht="45">
      <c r="A17" s="4" t="s">
        <v>158</v>
      </c>
      <c r="B17" s="4">
        <v>9134</v>
      </c>
      <c r="E17" s="4" t="s">
        <v>1109</v>
      </c>
      <c r="F17" s="4" t="s">
        <v>1109</v>
      </c>
      <c r="G17" s="4" t="s">
        <v>1109</v>
      </c>
      <c r="H17" s="8" t="s">
        <v>1097</v>
      </c>
      <c r="I17">
        <f>COUNTIF(E17:H17,"Y")</f>
        <v>0</v>
      </c>
    </row>
    <row r="18" spans="1:9" ht="45">
      <c r="A18" s="4" t="s">
        <v>93</v>
      </c>
      <c r="B18" s="4">
        <v>999</v>
      </c>
      <c r="E18" s="8" t="s">
        <v>1093</v>
      </c>
      <c r="F18" s="4" t="s">
        <v>1109</v>
      </c>
      <c r="G18" s="8" t="s">
        <v>1097</v>
      </c>
      <c r="H18" s="8" t="s">
        <v>1097</v>
      </c>
      <c r="I18">
        <f>COUNTIF(E18:H18,"Y")</f>
        <v>0</v>
      </c>
    </row>
    <row r="19" spans="1:9">
      <c r="A19" s="4" t="s">
        <v>162</v>
      </c>
      <c r="B19" s="4">
        <v>1027</v>
      </c>
      <c r="E19" s="4" t="s">
        <v>1109</v>
      </c>
      <c r="F19" s="4" t="s">
        <v>1109</v>
      </c>
      <c r="G19" s="4" t="s">
        <v>1109</v>
      </c>
      <c r="H19" s="4" t="s">
        <v>1108</v>
      </c>
      <c r="I19">
        <f>COUNTIF(E19:H19,"Y")</f>
        <v>1</v>
      </c>
    </row>
    <row r="20" spans="1:9" ht="30">
      <c r="A20" s="4" t="s">
        <v>163</v>
      </c>
      <c r="B20" s="4">
        <v>1029</v>
      </c>
      <c r="C20" s="4" t="s">
        <v>1108</v>
      </c>
      <c r="D20" s="8" t="s">
        <v>640</v>
      </c>
      <c r="E20" s="4" t="s">
        <v>1109</v>
      </c>
      <c r="F20" s="4" t="s">
        <v>1109</v>
      </c>
      <c r="G20" s="4" t="s">
        <v>1109</v>
      </c>
      <c r="H20" s="4" t="s">
        <v>1109</v>
      </c>
      <c r="I20">
        <f>COUNTIF(E20:H20,"Y")</f>
        <v>0</v>
      </c>
    </row>
    <row r="21" spans="1:9">
      <c r="A21" s="4" t="s">
        <v>171</v>
      </c>
      <c r="B21" s="4">
        <v>113540</v>
      </c>
      <c r="E21" s="4" t="s">
        <v>1109</v>
      </c>
      <c r="F21" s="4" t="s">
        <v>1109</v>
      </c>
      <c r="G21" s="4" t="s">
        <v>1109</v>
      </c>
      <c r="H21" s="4" t="s">
        <v>1108</v>
      </c>
      <c r="I21">
        <f>COUNTIF(E21:H21,"Y")</f>
        <v>1</v>
      </c>
    </row>
    <row r="22" spans="1:9">
      <c r="A22" s="4" t="s">
        <v>95</v>
      </c>
      <c r="B22" s="4">
        <v>131034</v>
      </c>
      <c r="C22" s="4" t="s">
        <v>1108</v>
      </c>
      <c r="E22" s="4" t="s">
        <v>1108</v>
      </c>
      <c r="F22" s="4" t="s">
        <v>1108</v>
      </c>
      <c r="G22" s="4" t="s">
        <v>1108</v>
      </c>
      <c r="H22" s="4" t="s">
        <v>1108</v>
      </c>
      <c r="I22">
        <f>COUNTIF(E22:H22,"Y")</f>
        <v>4</v>
      </c>
    </row>
    <row r="23" spans="1:9" ht="30">
      <c r="A23" s="4" t="s">
        <v>1102</v>
      </c>
      <c r="B23" s="4">
        <v>54973</v>
      </c>
      <c r="E23" s="4" t="s">
        <v>1109</v>
      </c>
      <c r="F23" s="8" t="s">
        <v>1093</v>
      </c>
      <c r="G23" s="4" t="s">
        <v>1109</v>
      </c>
      <c r="H23" s="4" t="s">
        <v>1109</v>
      </c>
      <c r="I23">
        <f>COUNTIF(E23:H23,"Y")</f>
        <v>0</v>
      </c>
    </row>
    <row r="24" spans="1:9" ht="45">
      <c r="A24" s="4" t="s">
        <v>176</v>
      </c>
      <c r="B24" s="4">
        <v>8722</v>
      </c>
      <c r="E24" s="4" t="s">
        <v>1109</v>
      </c>
      <c r="F24" s="8" t="s">
        <v>1093</v>
      </c>
      <c r="G24" s="8" t="s">
        <v>1097</v>
      </c>
      <c r="H24" s="4" t="s">
        <v>1109</v>
      </c>
      <c r="I24">
        <f>COUNTIF(E24:H24,"Y")</f>
        <v>0</v>
      </c>
    </row>
    <row r="25" spans="1:9" ht="45">
      <c r="A25" s="4" t="s">
        <v>177</v>
      </c>
      <c r="B25" s="4">
        <v>6376</v>
      </c>
      <c r="C25" s="4" t="s">
        <v>1108</v>
      </c>
      <c r="D25" s="8" t="s">
        <v>595</v>
      </c>
      <c r="E25" s="4" t="s">
        <v>1109</v>
      </c>
      <c r="F25" s="8" t="s">
        <v>1093</v>
      </c>
      <c r="G25" s="4" t="s">
        <v>1109</v>
      </c>
      <c r="H25" s="8" t="s">
        <v>1097</v>
      </c>
      <c r="I25">
        <f>COUNTIF(E25:H25,"Y")</f>
        <v>0</v>
      </c>
    </row>
    <row r="26" spans="1:9" ht="30">
      <c r="A26" s="4" t="s">
        <v>179</v>
      </c>
      <c r="B26" s="4">
        <v>1588</v>
      </c>
      <c r="D26" s="8" t="s">
        <v>640</v>
      </c>
      <c r="E26" s="4" t="s">
        <v>1108</v>
      </c>
      <c r="F26" s="4" t="s">
        <v>1109</v>
      </c>
      <c r="G26" s="4" t="s">
        <v>1109</v>
      </c>
      <c r="H26" s="4" t="s">
        <v>1108</v>
      </c>
      <c r="I26">
        <f>COUNTIF(E26:H26,"Y")</f>
        <v>2</v>
      </c>
    </row>
    <row r="27" spans="1:9" ht="30">
      <c r="A27" s="4" t="s">
        <v>181</v>
      </c>
      <c r="B27" s="4">
        <v>9681</v>
      </c>
      <c r="E27" s="8" t="s">
        <v>1093</v>
      </c>
      <c r="F27" s="4" t="s">
        <v>1109</v>
      </c>
      <c r="G27" s="4" t="s">
        <v>1109</v>
      </c>
      <c r="H27" s="4" t="s">
        <v>1108</v>
      </c>
      <c r="I27">
        <f>COUNTIF(E27:H27,"Y")</f>
        <v>1</v>
      </c>
    </row>
    <row r="28" spans="1:9" ht="30">
      <c r="A28" s="4" t="s">
        <v>183</v>
      </c>
      <c r="B28" s="4">
        <v>1717</v>
      </c>
      <c r="E28" s="4" t="s">
        <v>1109</v>
      </c>
      <c r="F28" s="8" t="s">
        <v>1093</v>
      </c>
      <c r="G28" s="4" t="s">
        <v>1109</v>
      </c>
      <c r="H28" s="4" t="s">
        <v>1109</v>
      </c>
      <c r="I28">
        <f>COUNTIF(E28:H28,"Y")</f>
        <v>0</v>
      </c>
    </row>
    <row r="29" spans="1:9">
      <c r="A29" s="4" t="s">
        <v>186</v>
      </c>
      <c r="B29" s="4">
        <v>1769</v>
      </c>
      <c r="E29" s="4" t="s">
        <v>1109</v>
      </c>
      <c r="F29" s="4" t="s">
        <v>1108</v>
      </c>
      <c r="G29" s="4" t="s">
        <v>1108</v>
      </c>
      <c r="H29" s="4" t="s">
        <v>1109</v>
      </c>
      <c r="I29">
        <f>COUNTIF(E29:H29,"Y")</f>
        <v>2</v>
      </c>
    </row>
    <row r="30" spans="1:9">
      <c r="A30" s="4" t="s">
        <v>189</v>
      </c>
      <c r="B30" s="4">
        <v>1855</v>
      </c>
      <c r="E30" s="4" t="s">
        <v>1109</v>
      </c>
      <c r="F30" s="4" t="s">
        <v>1109</v>
      </c>
      <c r="G30" s="4" t="s">
        <v>1109</v>
      </c>
      <c r="H30" s="4" t="s">
        <v>1109</v>
      </c>
      <c r="I30">
        <f>COUNTIF(E30:H30,"Y")</f>
        <v>0</v>
      </c>
    </row>
    <row r="31" spans="1:9" ht="45">
      <c r="A31" s="4" t="s">
        <v>192</v>
      </c>
      <c r="B31" s="4">
        <v>1632</v>
      </c>
      <c r="E31" s="4" t="s">
        <v>1109</v>
      </c>
      <c r="F31" s="4" t="s">
        <v>1109</v>
      </c>
      <c r="G31" s="4" t="s">
        <v>1109</v>
      </c>
      <c r="H31" s="8" t="s">
        <v>1097</v>
      </c>
      <c r="I31">
        <f>COUNTIF(E31:H31,"Y")</f>
        <v>0</v>
      </c>
    </row>
    <row r="32" spans="1:9" ht="45">
      <c r="A32" s="4" t="s">
        <v>197</v>
      </c>
      <c r="B32" s="4">
        <v>2053</v>
      </c>
      <c r="E32" s="4" t="s">
        <v>1109</v>
      </c>
      <c r="F32" s="4" t="s">
        <v>1109</v>
      </c>
      <c r="G32" s="8" t="s">
        <v>1097</v>
      </c>
      <c r="H32" s="8" t="s">
        <v>1097</v>
      </c>
      <c r="I32">
        <f>COUNTIF(E32:H32,"Y")</f>
        <v>0</v>
      </c>
    </row>
    <row r="33" spans="1:9" ht="45">
      <c r="A33" s="4" t="s">
        <v>200</v>
      </c>
      <c r="B33" s="4">
        <v>2146</v>
      </c>
      <c r="C33" s="4" t="s">
        <v>1108</v>
      </c>
      <c r="D33" s="8" t="s">
        <v>731</v>
      </c>
      <c r="E33" s="4" t="s">
        <v>1109</v>
      </c>
      <c r="F33" s="4" t="s">
        <v>1109</v>
      </c>
      <c r="G33" s="4" t="s">
        <v>1109</v>
      </c>
      <c r="H33" s="4" t="s">
        <v>1109</v>
      </c>
      <c r="I33">
        <f>COUNTIF(E33:H33,"Y")</f>
        <v>0</v>
      </c>
    </row>
    <row r="34" spans="1:9" ht="45">
      <c r="A34" s="4" t="s">
        <v>201</v>
      </c>
      <c r="B34" s="4">
        <v>2152</v>
      </c>
      <c r="E34" s="4" t="s">
        <v>1109</v>
      </c>
      <c r="F34" s="4" t="s">
        <v>1109</v>
      </c>
      <c r="G34" s="8" t="s">
        <v>1097</v>
      </c>
      <c r="H34" s="4" t="s">
        <v>1108</v>
      </c>
      <c r="I34">
        <f>COUNTIF(E34:H34,"Y")</f>
        <v>1</v>
      </c>
    </row>
    <row r="35" spans="1:9" ht="45">
      <c r="A35" s="4" t="s">
        <v>32</v>
      </c>
      <c r="B35" s="4">
        <v>92689</v>
      </c>
      <c r="D35" s="4" t="s">
        <v>442</v>
      </c>
      <c r="E35" s="4" t="s">
        <v>1109</v>
      </c>
      <c r="F35" s="4" t="s">
        <v>1109</v>
      </c>
      <c r="G35" s="8" t="s">
        <v>1097</v>
      </c>
      <c r="H35" s="8" t="s">
        <v>1097</v>
      </c>
      <c r="I35">
        <f>COUNTIF(E35:H35,"Y")</f>
        <v>0</v>
      </c>
    </row>
    <row r="36" spans="1:9">
      <c r="A36" s="4" t="s">
        <v>203</v>
      </c>
      <c r="B36" s="4">
        <v>159091</v>
      </c>
      <c r="E36" s="4" t="s">
        <v>1109</v>
      </c>
      <c r="F36" s="4" t="s">
        <v>1109</v>
      </c>
      <c r="G36" s="4" t="s">
        <v>1109</v>
      </c>
      <c r="H36" s="4" t="s">
        <v>1109</v>
      </c>
      <c r="I36">
        <f>COUNTIF(E36:H36,"Y")</f>
        <v>0</v>
      </c>
    </row>
    <row r="37" spans="1:9" ht="45">
      <c r="A37" s="4" t="s">
        <v>206</v>
      </c>
      <c r="B37" s="4">
        <v>2241</v>
      </c>
      <c r="D37" s="8" t="s">
        <v>732</v>
      </c>
      <c r="E37" s="4" t="s">
        <v>1109</v>
      </c>
      <c r="F37" s="4" t="s">
        <v>1109</v>
      </c>
      <c r="G37" s="4" t="s">
        <v>1109</v>
      </c>
      <c r="H37" s="4" t="s">
        <v>1109</v>
      </c>
      <c r="I37">
        <f>COUNTIF(E37:H37,"Y")</f>
        <v>0</v>
      </c>
    </row>
    <row r="38" spans="1:9">
      <c r="A38" s="4" t="s">
        <v>208</v>
      </c>
      <c r="B38" s="4">
        <v>2346</v>
      </c>
      <c r="E38" s="4" t="s">
        <v>1108</v>
      </c>
      <c r="F38" s="4" t="s">
        <v>1108</v>
      </c>
      <c r="G38" s="4" t="s">
        <v>1108</v>
      </c>
      <c r="H38" s="4" t="s">
        <v>1108</v>
      </c>
      <c r="I38">
        <f>COUNTIF(E38:H38,"Y")</f>
        <v>4</v>
      </c>
    </row>
    <row r="39" spans="1:9" ht="45">
      <c r="A39" s="4" t="s">
        <v>98</v>
      </c>
      <c r="B39" s="4">
        <v>9518</v>
      </c>
      <c r="E39" s="4" t="s">
        <v>1109</v>
      </c>
      <c r="F39" s="4" t="s">
        <v>1109</v>
      </c>
      <c r="G39" s="4" t="s">
        <v>1108</v>
      </c>
      <c r="H39" s="8" t="s">
        <v>1097</v>
      </c>
      <c r="I39">
        <f>COUNTIF(E39:H39,"Y")</f>
        <v>1</v>
      </c>
    </row>
    <row r="40" spans="1:9" ht="60">
      <c r="A40" s="4" t="s">
        <v>217</v>
      </c>
      <c r="B40" s="4">
        <v>10020</v>
      </c>
      <c r="C40" s="4" t="s">
        <v>1108</v>
      </c>
      <c r="D40" s="8" t="s">
        <v>768</v>
      </c>
      <c r="E40" s="4" t="s">
        <v>1109</v>
      </c>
      <c r="F40" s="4" t="s">
        <v>1109</v>
      </c>
      <c r="G40" s="8" t="s">
        <v>1097</v>
      </c>
      <c r="H40" s="4" t="s">
        <v>1108</v>
      </c>
      <c r="I40">
        <f>COUNTIF(E40:H40,"Y")</f>
        <v>1</v>
      </c>
    </row>
    <row r="41" spans="1:9">
      <c r="A41" s="4" t="s">
        <v>218</v>
      </c>
      <c r="B41" s="4">
        <v>79158</v>
      </c>
      <c r="E41" s="4" t="s">
        <v>1109</v>
      </c>
      <c r="F41" s="4" t="s">
        <v>1109</v>
      </c>
      <c r="G41" s="4" t="s">
        <v>1109</v>
      </c>
      <c r="H41" s="4" t="s">
        <v>1109</v>
      </c>
      <c r="I41">
        <f>COUNTIF(E41:H41,"Y")</f>
        <v>0</v>
      </c>
    </row>
    <row r="42" spans="1:9" ht="60">
      <c r="A42" s="4" t="s">
        <v>219</v>
      </c>
      <c r="B42" s="4">
        <v>2821</v>
      </c>
      <c r="C42" s="4" t="s">
        <v>1108</v>
      </c>
      <c r="D42" s="8" t="s">
        <v>769</v>
      </c>
      <c r="E42" s="4" t="s">
        <v>1109</v>
      </c>
      <c r="F42" s="4" t="s">
        <v>1109</v>
      </c>
      <c r="G42" s="4" t="s">
        <v>1109</v>
      </c>
      <c r="H42" s="4" t="s">
        <v>1109</v>
      </c>
      <c r="I42">
        <f>COUNTIF(E42:H42,"Y")</f>
        <v>0</v>
      </c>
    </row>
    <row r="43" spans="1:9" ht="45">
      <c r="A43" s="4" t="s">
        <v>42</v>
      </c>
      <c r="B43" s="4">
        <v>9464</v>
      </c>
      <c r="D43" s="4" t="s">
        <v>442</v>
      </c>
      <c r="E43" s="4" t="s">
        <v>1109</v>
      </c>
      <c r="F43" s="4" t="s">
        <v>1109</v>
      </c>
      <c r="G43" s="4" t="s">
        <v>1109</v>
      </c>
      <c r="H43" s="8" t="s">
        <v>1097</v>
      </c>
      <c r="I43">
        <f>COUNTIF(E43:H43,"Y")</f>
        <v>0</v>
      </c>
    </row>
    <row r="44" spans="1:9">
      <c r="A44" s="4" t="s">
        <v>226</v>
      </c>
      <c r="B44" s="4">
        <v>3065</v>
      </c>
      <c r="E44" s="4" t="s">
        <v>1109</v>
      </c>
      <c r="F44" s="4" t="s">
        <v>1109</v>
      </c>
      <c r="G44" s="4" t="s">
        <v>1109</v>
      </c>
      <c r="H44" s="4" t="s">
        <v>1109</v>
      </c>
      <c r="I44">
        <f>COUNTIF(E44:H44,"Y")</f>
        <v>0</v>
      </c>
    </row>
    <row r="45" spans="1:9" ht="45">
      <c r="A45" s="4" t="s">
        <v>227</v>
      </c>
      <c r="B45" s="4">
        <v>9734</v>
      </c>
      <c r="E45" s="4" t="s">
        <v>1109</v>
      </c>
      <c r="F45" s="4" t="s">
        <v>1108</v>
      </c>
      <c r="G45" s="8" t="s">
        <v>1097</v>
      </c>
      <c r="H45" s="4" t="s">
        <v>1109</v>
      </c>
      <c r="I45">
        <f>COUNTIF(E45:H45,"Y")</f>
        <v>1</v>
      </c>
    </row>
    <row r="46" spans="1:9" ht="45">
      <c r="A46" s="4" t="s">
        <v>232</v>
      </c>
      <c r="B46" s="4">
        <v>3295</v>
      </c>
      <c r="E46" s="4" t="s">
        <v>1109</v>
      </c>
      <c r="F46" s="4" t="s">
        <v>1109</v>
      </c>
      <c r="G46" s="4" t="s">
        <v>1108</v>
      </c>
      <c r="H46" s="8" t="s">
        <v>1097</v>
      </c>
      <c r="I46">
        <f>COUNTIF(E46:H46,"Y")</f>
        <v>1</v>
      </c>
    </row>
    <row r="47" spans="1:9" ht="30">
      <c r="A47" s="4" t="s">
        <v>233</v>
      </c>
      <c r="B47" s="4">
        <v>3304</v>
      </c>
      <c r="E47" s="8" t="s">
        <v>1093</v>
      </c>
      <c r="F47" s="4" t="s">
        <v>1109</v>
      </c>
      <c r="G47" s="4" t="s">
        <v>1109</v>
      </c>
      <c r="H47" s="4" t="s">
        <v>1109</v>
      </c>
      <c r="I47">
        <f>COUNTIF(E47:H47,"Y")</f>
        <v>0</v>
      </c>
    </row>
    <row r="48" spans="1:9">
      <c r="A48" s="4" t="s">
        <v>52</v>
      </c>
      <c r="B48" s="4">
        <v>3631</v>
      </c>
      <c r="D48" s="4" t="s">
        <v>442</v>
      </c>
      <c r="E48" s="4" t="s">
        <v>1109</v>
      </c>
      <c r="F48" s="4" t="s">
        <v>1109</v>
      </c>
      <c r="G48" s="4" t="s">
        <v>1109</v>
      </c>
      <c r="H48" s="4" t="s">
        <v>1109</v>
      </c>
      <c r="I48">
        <f>COUNTIF(E48:H48,"Y")</f>
        <v>0</v>
      </c>
    </row>
    <row r="49" spans="1:9" ht="60">
      <c r="A49" s="4" t="s">
        <v>235</v>
      </c>
      <c r="B49" s="4">
        <v>3673</v>
      </c>
      <c r="C49" s="4" t="s">
        <v>1108</v>
      </c>
      <c r="D49" s="8" t="s">
        <v>768</v>
      </c>
      <c r="E49" s="4" t="s">
        <v>1109</v>
      </c>
      <c r="F49" s="4" t="s">
        <v>1109</v>
      </c>
      <c r="G49" s="4" t="s">
        <v>1109</v>
      </c>
      <c r="H49" s="4" t="s">
        <v>1109</v>
      </c>
      <c r="I49">
        <f>COUNTIF(E49:H49,"Y")</f>
        <v>0</v>
      </c>
    </row>
    <row r="50" spans="1:9" ht="45">
      <c r="A50" s="4" t="s">
        <v>241</v>
      </c>
      <c r="B50" s="4">
        <v>10656</v>
      </c>
      <c r="D50" s="8"/>
      <c r="E50" s="4" t="s">
        <v>1109</v>
      </c>
      <c r="F50" s="4" t="s">
        <v>1109</v>
      </c>
      <c r="G50" s="4" t="s">
        <v>1109</v>
      </c>
      <c r="H50" s="8" t="s">
        <v>1097</v>
      </c>
      <c r="I50">
        <f>COUNTIF(E50:H50,"Y")</f>
        <v>0</v>
      </c>
    </row>
    <row r="51" spans="1:9">
      <c r="A51" s="4" t="s">
        <v>100</v>
      </c>
      <c r="B51" s="4">
        <v>354</v>
      </c>
      <c r="E51" s="4" t="s">
        <v>1108</v>
      </c>
      <c r="F51" s="4" t="s">
        <v>1108</v>
      </c>
      <c r="G51" s="4" t="s">
        <v>1108</v>
      </c>
      <c r="H51" s="4" t="s">
        <v>1108</v>
      </c>
      <c r="I51">
        <f>COUNTIF(E51:H51,"Y")</f>
        <v>4</v>
      </c>
    </row>
    <row r="52" spans="1:9" ht="30">
      <c r="A52" s="4" t="s">
        <v>244</v>
      </c>
      <c r="B52" s="4">
        <v>3861</v>
      </c>
      <c r="E52" s="8" t="s">
        <v>1093</v>
      </c>
      <c r="F52" s="4" t="s">
        <v>1108</v>
      </c>
      <c r="G52" s="4" t="s">
        <v>1109</v>
      </c>
      <c r="H52" s="4" t="s">
        <v>1109</v>
      </c>
      <c r="I52">
        <f>COUNTIF(E52:H52,"Y")</f>
        <v>1</v>
      </c>
    </row>
    <row r="53" spans="1:9" ht="45">
      <c r="A53" s="4" t="s">
        <v>101</v>
      </c>
      <c r="B53" s="4">
        <v>3875</v>
      </c>
      <c r="E53" s="4" t="s">
        <v>1109</v>
      </c>
      <c r="F53" s="8" t="s">
        <v>1093</v>
      </c>
      <c r="G53" s="4" t="s">
        <v>1109</v>
      </c>
      <c r="H53" s="8" t="s">
        <v>1097</v>
      </c>
      <c r="I53">
        <f>COUNTIF(E53:H53,"Y")</f>
        <v>0</v>
      </c>
    </row>
    <row r="54" spans="1:9" ht="30">
      <c r="A54" s="4" t="s">
        <v>246</v>
      </c>
      <c r="B54" s="4">
        <v>3852</v>
      </c>
      <c r="E54" s="4" t="s">
        <v>1109</v>
      </c>
      <c r="F54" s="8" t="s">
        <v>1093</v>
      </c>
      <c r="G54" s="4" t="s">
        <v>1109</v>
      </c>
      <c r="H54" s="4" t="s">
        <v>1109</v>
      </c>
      <c r="I54">
        <f>COUNTIF(E54:H54,"Y")</f>
        <v>0</v>
      </c>
    </row>
    <row r="55" spans="1:9" ht="45">
      <c r="A55" s="4" t="s">
        <v>102</v>
      </c>
      <c r="B55" s="4">
        <v>3856</v>
      </c>
      <c r="E55" s="4" t="s">
        <v>1109</v>
      </c>
      <c r="F55" s="4" t="s">
        <v>1109</v>
      </c>
      <c r="G55" s="4" t="s">
        <v>1109</v>
      </c>
      <c r="H55" s="8" t="s">
        <v>1097</v>
      </c>
      <c r="I55">
        <f>COUNTIF(E55:H55,"Y")</f>
        <v>0</v>
      </c>
    </row>
    <row r="56" spans="1:9" ht="30">
      <c r="A56" s="4" t="s">
        <v>252</v>
      </c>
      <c r="B56" s="4">
        <v>6885</v>
      </c>
      <c r="E56" s="4" t="s">
        <v>1109</v>
      </c>
      <c r="F56" s="8" t="s">
        <v>1093</v>
      </c>
      <c r="G56" s="4" t="s">
        <v>1109</v>
      </c>
      <c r="H56" s="4" t="s">
        <v>1109</v>
      </c>
      <c r="I56">
        <f>COUNTIF(E56:H56,"Y")</f>
        <v>0</v>
      </c>
    </row>
    <row r="57" spans="1:9" ht="45">
      <c r="A57" s="4" t="s">
        <v>103</v>
      </c>
      <c r="B57" s="4">
        <v>79083</v>
      </c>
      <c r="E57" s="8" t="s">
        <v>1093</v>
      </c>
      <c r="F57" s="4" t="s">
        <v>1108</v>
      </c>
      <c r="G57" s="4" t="s">
        <v>1108</v>
      </c>
      <c r="H57" s="8" t="s">
        <v>1097</v>
      </c>
      <c r="I57">
        <f>COUNTIF(E57:H57,"Y")</f>
        <v>2</v>
      </c>
    </row>
    <row r="58" spans="1:9">
      <c r="A58" s="4" t="s">
        <v>257</v>
      </c>
      <c r="B58" s="4">
        <v>143098</v>
      </c>
      <c r="E58" s="4" t="s">
        <v>1109</v>
      </c>
      <c r="F58" s="4" t="s">
        <v>1109</v>
      </c>
      <c r="G58" s="4" t="s">
        <v>1109</v>
      </c>
      <c r="H58" s="4" t="s">
        <v>1109</v>
      </c>
      <c r="I58">
        <f>COUNTIF(E58:H58,"Y")</f>
        <v>0</v>
      </c>
    </row>
    <row r="59" spans="1:9">
      <c r="A59" s="4" t="s">
        <v>259</v>
      </c>
      <c r="B59" s="4">
        <v>140699</v>
      </c>
      <c r="E59" s="4" t="s">
        <v>1109</v>
      </c>
      <c r="F59" s="4" t="s">
        <v>1109</v>
      </c>
      <c r="G59" s="4" t="s">
        <v>1109</v>
      </c>
      <c r="H59" s="4" t="s">
        <v>1109</v>
      </c>
      <c r="I59">
        <f>COUNTIF(E59:H59,"Y")</f>
        <v>0</v>
      </c>
    </row>
    <row r="60" spans="1:9" ht="30">
      <c r="A60" s="4" t="s">
        <v>262</v>
      </c>
      <c r="B60" s="4">
        <v>4602</v>
      </c>
      <c r="E60" s="4" t="s">
        <v>1109</v>
      </c>
      <c r="F60" s="8" t="s">
        <v>1093</v>
      </c>
      <c r="G60" s="4" t="s">
        <v>1109</v>
      </c>
      <c r="H60" s="4" t="s">
        <v>1109</v>
      </c>
      <c r="I60">
        <f>COUNTIF(E60:H60,"Y")</f>
        <v>0</v>
      </c>
    </row>
    <row r="61" spans="1:9" ht="45">
      <c r="A61" s="4" t="s">
        <v>105</v>
      </c>
      <c r="B61" s="4">
        <v>4646</v>
      </c>
      <c r="E61" s="4" t="s">
        <v>1109</v>
      </c>
      <c r="F61" s="4" t="s">
        <v>1109</v>
      </c>
      <c r="G61" s="8" t="s">
        <v>1097</v>
      </c>
      <c r="H61" s="4" t="s">
        <v>1109</v>
      </c>
      <c r="I61">
        <f>COUNTIF(E61:H61,"Y")</f>
        <v>0</v>
      </c>
    </row>
    <row r="62" spans="1:9" ht="45">
      <c r="A62" s="4" t="s">
        <v>107</v>
      </c>
      <c r="B62" s="4">
        <v>8031</v>
      </c>
      <c r="E62" s="4" t="s">
        <v>1109</v>
      </c>
      <c r="F62" s="4" t="s">
        <v>1109</v>
      </c>
      <c r="G62" s="8" t="s">
        <v>1097</v>
      </c>
      <c r="H62" s="8" t="s">
        <v>1097</v>
      </c>
      <c r="I62">
        <f>COUNTIF(E62:H62,"Y")</f>
        <v>0</v>
      </c>
    </row>
    <row r="63" spans="1:9" ht="30">
      <c r="A63" s="4" t="s">
        <v>108</v>
      </c>
      <c r="B63" s="4">
        <v>10397</v>
      </c>
      <c r="E63" s="4" t="s">
        <v>1109</v>
      </c>
      <c r="F63" s="8" t="s">
        <v>1093</v>
      </c>
      <c r="G63" s="4" t="s">
        <v>1109</v>
      </c>
      <c r="H63" s="4" t="s">
        <v>1109</v>
      </c>
      <c r="I63">
        <f>COUNTIF(E63:H63,"Y")</f>
        <v>0</v>
      </c>
    </row>
    <row r="64" spans="1:9" ht="45">
      <c r="A64" s="4" t="s">
        <v>267</v>
      </c>
      <c r="B64" s="4">
        <v>81831</v>
      </c>
      <c r="E64" s="4" t="s">
        <v>1109</v>
      </c>
      <c r="F64" s="4" t="s">
        <v>1109</v>
      </c>
      <c r="G64" s="4" t="s">
        <v>1109</v>
      </c>
      <c r="H64" s="8" t="s">
        <v>1097</v>
      </c>
      <c r="I64">
        <f>COUNTIF(E64:H64,"Y")</f>
        <v>0</v>
      </c>
    </row>
    <row r="65" spans="1:9" ht="45">
      <c r="A65" s="4" t="s">
        <v>109</v>
      </c>
      <c r="B65" s="4">
        <v>4781</v>
      </c>
      <c r="E65" s="4" t="s">
        <v>1109</v>
      </c>
      <c r="F65" s="4" t="s">
        <v>1109</v>
      </c>
      <c r="G65" s="4" t="s">
        <v>1109</v>
      </c>
      <c r="H65" s="8" t="s">
        <v>1097</v>
      </c>
      <c r="I65">
        <f>COUNTIF(E65:H65,"Y")</f>
        <v>0</v>
      </c>
    </row>
    <row r="66" spans="1:9">
      <c r="A66" s="4" t="s">
        <v>110</v>
      </c>
      <c r="B66" s="4">
        <v>4824</v>
      </c>
      <c r="E66" s="4" t="s">
        <v>1108</v>
      </c>
      <c r="F66" s="4" t="s">
        <v>1108</v>
      </c>
      <c r="G66" s="4" t="s">
        <v>1108</v>
      </c>
      <c r="H66" s="4" t="s">
        <v>1108</v>
      </c>
      <c r="I66">
        <f>COUNTIF(E66:H66,"Y")</f>
        <v>4</v>
      </c>
    </row>
    <row r="67" spans="1:9">
      <c r="A67" s="4" t="s">
        <v>269</v>
      </c>
      <c r="B67" s="4">
        <v>4851</v>
      </c>
      <c r="E67" s="4" t="s">
        <v>1109</v>
      </c>
      <c r="F67" s="4" t="s">
        <v>1109</v>
      </c>
      <c r="G67" s="4" t="s">
        <v>1109</v>
      </c>
      <c r="H67" s="4" t="s">
        <v>1109</v>
      </c>
      <c r="I67">
        <f>COUNTIF(E67:H67,"Y")</f>
        <v>0</v>
      </c>
    </row>
    <row r="68" spans="1:9" ht="45">
      <c r="A68" s="4" t="s">
        <v>274</v>
      </c>
      <c r="B68" s="4">
        <v>4924</v>
      </c>
      <c r="E68" s="4" t="s">
        <v>1109</v>
      </c>
      <c r="F68" s="4" t="s">
        <v>1109</v>
      </c>
      <c r="G68" s="8" t="s">
        <v>1097</v>
      </c>
      <c r="H68" s="8" t="s">
        <v>1097</v>
      </c>
      <c r="I68">
        <f>COUNTIF(E68:H68,"Y")</f>
        <v>0</v>
      </c>
    </row>
    <row r="69" spans="1:9" ht="45">
      <c r="A69" s="4" t="s">
        <v>275</v>
      </c>
      <c r="B69" s="4">
        <v>55270</v>
      </c>
      <c r="E69" s="4" t="s">
        <v>1109</v>
      </c>
      <c r="F69" s="4" t="s">
        <v>1109</v>
      </c>
      <c r="G69" s="4" t="s">
        <v>1109</v>
      </c>
      <c r="H69" s="8" t="s">
        <v>1097</v>
      </c>
      <c r="I69">
        <f>COUNTIF(E69:H69,"Y")</f>
        <v>0</v>
      </c>
    </row>
    <row r="70" spans="1:9" ht="45">
      <c r="A70" s="4" t="s">
        <v>276</v>
      </c>
      <c r="B70" s="4">
        <v>10482</v>
      </c>
      <c r="E70" s="4" t="s">
        <v>1109</v>
      </c>
      <c r="F70" s="8" t="s">
        <v>1093</v>
      </c>
      <c r="G70" s="8" t="s">
        <v>1097</v>
      </c>
      <c r="H70" s="4" t="s">
        <v>1109</v>
      </c>
      <c r="I70">
        <f>COUNTIF(E70:H70,"Y")</f>
        <v>0</v>
      </c>
    </row>
    <row r="71" spans="1:9">
      <c r="A71" s="4" t="s">
        <v>282</v>
      </c>
      <c r="B71" s="4">
        <v>5111</v>
      </c>
      <c r="E71" s="4" t="s">
        <v>1109</v>
      </c>
      <c r="F71" s="4" t="s">
        <v>1109</v>
      </c>
      <c r="G71" s="4" t="s">
        <v>1109</v>
      </c>
      <c r="H71" s="4" t="s">
        <v>1109</v>
      </c>
      <c r="I71">
        <f>COUNTIF(E71:H71,"Y")</f>
        <v>0</v>
      </c>
    </row>
    <row r="72" spans="1:9">
      <c r="A72" s="4" t="s">
        <v>283</v>
      </c>
      <c r="B72" s="4">
        <v>5046</v>
      </c>
      <c r="E72" s="4" t="s">
        <v>1109</v>
      </c>
      <c r="F72" s="4" t="s">
        <v>1109</v>
      </c>
      <c r="G72" s="4" t="s">
        <v>1109</v>
      </c>
      <c r="H72" s="4" t="s">
        <v>1108</v>
      </c>
      <c r="I72">
        <f>COUNTIF(E72:H72,"Y")</f>
        <v>1</v>
      </c>
    </row>
    <row r="73" spans="1:9" ht="45">
      <c r="A73" s="4" t="s">
        <v>66</v>
      </c>
      <c r="B73" s="4">
        <v>5136</v>
      </c>
      <c r="D73" s="4" t="s">
        <v>442</v>
      </c>
      <c r="E73" s="4" t="s">
        <v>1109</v>
      </c>
      <c r="F73" s="4" t="s">
        <v>1109</v>
      </c>
      <c r="G73" s="4" t="s">
        <v>1109</v>
      </c>
      <c r="H73" s="8" t="s">
        <v>1097</v>
      </c>
      <c r="I73">
        <f>COUNTIF(E73:H73,"Y")</f>
        <v>0</v>
      </c>
    </row>
    <row r="74" spans="1:9">
      <c r="A74" s="4" t="s">
        <v>285</v>
      </c>
      <c r="B74" s="4">
        <v>5170</v>
      </c>
      <c r="E74" s="4" t="s">
        <v>1109</v>
      </c>
      <c r="F74" s="4" t="s">
        <v>1109</v>
      </c>
      <c r="G74" s="4" t="s">
        <v>1109</v>
      </c>
      <c r="H74" s="4" t="s">
        <v>1109</v>
      </c>
      <c r="I74">
        <f>COUNTIF(E74:H74,"Y")</f>
        <v>0</v>
      </c>
    </row>
    <row r="75" spans="1:9">
      <c r="A75" s="4" t="s">
        <v>111</v>
      </c>
      <c r="B75" s="4">
        <v>8799</v>
      </c>
      <c r="E75" s="4" t="s">
        <v>1109</v>
      </c>
      <c r="F75" s="4" t="s">
        <v>1109</v>
      </c>
      <c r="G75" s="4" t="s">
        <v>1109</v>
      </c>
      <c r="H75" s="4" t="s">
        <v>1109</v>
      </c>
      <c r="I75">
        <f>COUNTIF(E75:H75,"Y")</f>
        <v>0</v>
      </c>
    </row>
    <row r="76" spans="1:9" ht="45">
      <c r="A76" s="4" t="s">
        <v>288</v>
      </c>
      <c r="B76" s="4">
        <v>5252</v>
      </c>
      <c r="E76" s="4" t="s">
        <v>1109</v>
      </c>
      <c r="F76" s="4" t="s">
        <v>1109</v>
      </c>
      <c r="G76" s="8" t="s">
        <v>1097</v>
      </c>
      <c r="H76" s="4" t="s">
        <v>1109</v>
      </c>
      <c r="I76">
        <f>COUNTIF(E76:H76,"Y")</f>
        <v>0</v>
      </c>
    </row>
    <row r="77" spans="1:9">
      <c r="A77" s="4" t="s">
        <v>69</v>
      </c>
      <c r="B77" s="4">
        <v>51050</v>
      </c>
      <c r="D77" s="4" t="s">
        <v>442</v>
      </c>
      <c r="E77" s="4" t="s">
        <v>1109</v>
      </c>
      <c r="F77" s="4" t="s">
        <v>1108</v>
      </c>
      <c r="G77" s="4" t="s">
        <v>1108</v>
      </c>
      <c r="H77" s="4" t="s">
        <v>1109</v>
      </c>
      <c r="I77">
        <f>COUNTIF(E77:H77,"Y")</f>
        <v>2</v>
      </c>
    </row>
    <row r="78" spans="1:9">
      <c r="A78" s="4" t="s">
        <v>289</v>
      </c>
      <c r="B78" s="4">
        <v>8503</v>
      </c>
      <c r="E78" s="4" t="s">
        <v>1109</v>
      </c>
      <c r="F78" s="4" t="s">
        <v>1109</v>
      </c>
      <c r="G78" s="4" t="s">
        <v>1109</v>
      </c>
      <c r="H78" s="4" t="s">
        <v>1109</v>
      </c>
      <c r="I78">
        <f>COUNTIF(E78:H78,"Y")</f>
        <v>0</v>
      </c>
    </row>
    <row r="79" spans="1:9">
      <c r="A79" s="4" t="s">
        <v>71</v>
      </c>
      <c r="B79" s="4">
        <v>5743</v>
      </c>
      <c r="D79" s="4" t="s">
        <v>442</v>
      </c>
      <c r="E79" s="4" t="s">
        <v>1109</v>
      </c>
      <c r="F79" s="4" t="s">
        <v>1109</v>
      </c>
      <c r="G79" s="4" t="s">
        <v>1109</v>
      </c>
      <c r="H79" s="4" t="s">
        <v>1109</v>
      </c>
      <c r="I79">
        <f>COUNTIF(E79:H79,"Y")</f>
        <v>0</v>
      </c>
    </row>
    <row r="80" spans="1:9">
      <c r="A80" s="4" t="s">
        <v>114</v>
      </c>
      <c r="B80" s="4">
        <v>5873</v>
      </c>
      <c r="E80" s="4" t="s">
        <v>1108</v>
      </c>
      <c r="F80" s="4" t="s">
        <v>1108</v>
      </c>
      <c r="G80" s="4" t="s">
        <v>1108</v>
      </c>
      <c r="H80" s="4" t="s">
        <v>1108</v>
      </c>
      <c r="I80">
        <f>COUNTIF(E80:H80,"Y")</f>
        <v>4</v>
      </c>
    </row>
    <row r="81" spans="1:9">
      <c r="A81" s="4" t="s">
        <v>115</v>
      </c>
      <c r="B81" s="4">
        <v>5909</v>
      </c>
      <c r="E81" s="4" t="s">
        <v>1109</v>
      </c>
      <c r="F81" s="4" t="s">
        <v>1109</v>
      </c>
      <c r="G81" s="4" t="s">
        <v>1109</v>
      </c>
      <c r="H81" s="4" t="s">
        <v>1108</v>
      </c>
      <c r="I81">
        <f>COUNTIF(E81:H81,"Y")</f>
        <v>1</v>
      </c>
    </row>
    <row r="82" spans="1:9" ht="30">
      <c r="A82" s="4" t="s">
        <v>303</v>
      </c>
      <c r="B82" s="4">
        <v>5979</v>
      </c>
      <c r="E82" s="4" t="s">
        <v>1109</v>
      </c>
      <c r="F82" s="8" t="s">
        <v>1093</v>
      </c>
      <c r="G82" s="4" t="s">
        <v>1108</v>
      </c>
      <c r="H82" s="4" t="s">
        <v>1108</v>
      </c>
      <c r="I82">
        <f>COUNTIF(E82:H82,"Y")</f>
        <v>2</v>
      </c>
    </row>
    <row r="83" spans="1:9">
      <c r="A83" s="4" t="s">
        <v>308</v>
      </c>
      <c r="B83" s="4">
        <v>6103</v>
      </c>
      <c r="E83" s="4" t="s">
        <v>1109</v>
      </c>
      <c r="F83" s="4" t="s">
        <v>1109</v>
      </c>
      <c r="G83" s="4" t="s">
        <v>1109</v>
      </c>
      <c r="H83" s="4" t="s">
        <v>1109</v>
      </c>
      <c r="I83">
        <f>COUNTIF(E83:H83,"Y")</f>
        <v>0</v>
      </c>
    </row>
    <row r="84" spans="1:9" ht="30">
      <c r="A84" s="4" t="s">
        <v>314</v>
      </c>
      <c r="B84" s="4">
        <v>6461</v>
      </c>
      <c r="E84" s="4" t="s">
        <v>1109</v>
      </c>
      <c r="F84" s="8" t="s">
        <v>1093</v>
      </c>
      <c r="G84" s="4" t="s">
        <v>1109</v>
      </c>
      <c r="H84" s="4" t="s">
        <v>1109</v>
      </c>
      <c r="I84">
        <f>COUNTIF(E84:H84,"Y")</f>
        <v>0</v>
      </c>
    </row>
    <row r="85" spans="1:9">
      <c r="A85" s="4" t="s">
        <v>317</v>
      </c>
      <c r="B85" s="4">
        <v>6510</v>
      </c>
      <c r="E85" s="4" t="s">
        <v>1109</v>
      </c>
      <c r="F85" s="4" t="s">
        <v>1109</v>
      </c>
      <c r="G85" s="4" t="s">
        <v>1109</v>
      </c>
      <c r="H85" s="4" t="s">
        <v>1109</v>
      </c>
      <c r="I85">
        <f>COUNTIF(E85:H85,"Y")</f>
        <v>0</v>
      </c>
    </row>
    <row r="86" spans="1:9">
      <c r="A86" s="4" t="s">
        <v>318</v>
      </c>
      <c r="B86" s="4">
        <v>85414</v>
      </c>
      <c r="E86" s="4" t="s">
        <v>1108</v>
      </c>
      <c r="F86" s="4" t="s">
        <v>1108</v>
      </c>
      <c r="G86" s="4" t="s">
        <v>1108</v>
      </c>
      <c r="H86" s="4" t="s">
        <v>1108</v>
      </c>
      <c r="I86">
        <f>COUNTIF(E86:H86,"Y")</f>
        <v>4</v>
      </c>
    </row>
    <row r="87" spans="1:9" ht="45">
      <c r="A87" s="4" t="s">
        <v>320</v>
      </c>
      <c r="B87" s="4">
        <v>11254</v>
      </c>
      <c r="C87" s="4" t="s">
        <v>1108</v>
      </c>
      <c r="D87" s="8" t="s">
        <v>996</v>
      </c>
      <c r="E87" s="4" t="s">
        <v>1108</v>
      </c>
      <c r="F87" s="4" t="s">
        <v>1109</v>
      </c>
      <c r="G87" s="4" t="s">
        <v>1109</v>
      </c>
      <c r="H87" s="4" t="s">
        <v>1109</v>
      </c>
      <c r="I87">
        <f>COUNTIF(E87:H87,"Y")</f>
        <v>1</v>
      </c>
    </row>
    <row r="88" spans="1:9" ht="45">
      <c r="A88" s="4" t="s">
        <v>324</v>
      </c>
      <c r="B88" s="4">
        <v>10051</v>
      </c>
      <c r="E88" s="4" t="s">
        <v>1109</v>
      </c>
      <c r="F88" s="4" t="s">
        <v>1109</v>
      </c>
      <c r="G88" s="4" t="s">
        <v>1109</v>
      </c>
      <c r="H88" s="8" t="s">
        <v>1097</v>
      </c>
      <c r="I88">
        <f>COUNTIF(E88:H88,"Y")</f>
        <v>0</v>
      </c>
    </row>
    <row r="89" spans="1:9">
      <c r="A89" s="4" t="s">
        <v>325</v>
      </c>
      <c r="B89" s="4">
        <v>10924</v>
      </c>
      <c r="D89" s="4" t="s">
        <v>1014</v>
      </c>
      <c r="E89" s="4" t="s">
        <v>1109</v>
      </c>
      <c r="F89" s="4" t="s">
        <v>1109</v>
      </c>
      <c r="G89" s="4" t="s">
        <v>1109</v>
      </c>
      <c r="H89" s="4" t="s">
        <v>1109</v>
      </c>
      <c r="I89">
        <f>COUNTIF(E89:H89,"Y")</f>
        <v>0</v>
      </c>
    </row>
    <row r="90" spans="1:9">
      <c r="A90" s="4" t="s">
        <v>327</v>
      </c>
      <c r="B90" s="4">
        <v>6662</v>
      </c>
      <c r="E90" s="4" t="s">
        <v>1109</v>
      </c>
      <c r="F90" s="4" t="s">
        <v>1108</v>
      </c>
      <c r="G90" s="4" t="s">
        <v>1109</v>
      </c>
      <c r="H90" s="4" t="s">
        <v>1109</v>
      </c>
      <c r="I90">
        <f>COUNTIF(E90:H90,"Y")</f>
        <v>1</v>
      </c>
    </row>
    <row r="91" spans="1:9">
      <c r="A91" s="4" t="s">
        <v>328</v>
      </c>
      <c r="B91" s="4">
        <v>6690</v>
      </c>
      <c r="E91" s="4" t="s">
        <v>1109</v>
      </c>
      <c r="F91" s="4" t="s">
        <v>1109</v>
      </c>
      <c r="G91" s="4" t="s">
        <v>1109</v>
      </c>
      <c r="H91" s="4" t="s">
        <v>1109</v>
      </c>
      <c r="I91">
        <f>COUNTIF(E91:H91,"Y")</f>
        <v>0</v>
      </c>
    </row>
    <row r="92" spans="1:9">
      <c r="A92" s="4" t="s">
        <v>118</v>
      </c>
      <c r="B92" s="4">
        <v>58472</v>
      </c>
      <c r="E92" s="4" t="s">
        <v>1109</v>
      </c>
      <c r="F92" s="4" t="s">
        <v>1109</v>
      </c>
      <c r="G92" s="4" t="s">
        <v>1109</v>
      </c>
      <c r="H92" s="4" t="s">
        <v>1109</v>
      </c>
      <c r="I92">
        <f>COUNTIF(E92:H92,"Y")</f>
        <v>0</v>
      </c>
    </row>
    <row r="93" spans="1:9">
      <c r="A93" s="4" t="s">
        <v>329</v>
      </c>
      <c r="B93" s="4">
        <v>6714</v>
      </c>
      <c r="E93" s="4" t="s">
        <v>1109</v>
      </c>
      <c r="F93" s="4" t="s">
        <v>1109</v>
      </c>
      <c r="G93" s="4" t="s">
        <v>1109</v>
      </c>
      <c r="H93" s="4" t="s">
        <v>1109</v>
      </c>
      <c r="I93">
        <f>COUNTIF(E93:H93,"Y")</f>
        <v>0</v>
      </c>
    </row>
    <row r="94" spans="1:9">
      <c r="A94" s="4" t="s">
        <v>340</v>
      </c>
      <c r="B94" s="4">
        <v>7027</v>
      </c>
      <c r="E94" s="4" t="s">
        <v>1109</v>
      </c>
      <c r="F94" s="4" t="s">
        <v>1109</v>
      </c>
      <c r="G94" s="4" t="s">
        <v>1109</v>
      </c>
      <c r="H94" s="4" t="s">
        <v>1109</v>
      </c>
      <c r="I94">
        <f>COUNTIF(E94:H94,"Y")</f>
        <v>0</v>
      </c>
    </row>
    <row r="95" spans="1:9" ht="45">
      <c r="A95" s="4" t="s">
        <v>341</v>
      </c>
      <c r="B95" s="4">
        <v>7039</v>
      </c>
      <c r="E95" s="4" t="s">
        <v>1109</v>
      </c>
      <c r="F95" s="4" t="s">
        <v>1109</v>
      </c>
      <c r="G95" s="4" t="s">
        <v>1109</v>
      </c>
      <c r="H95" s="8" t="s">
        <v>1097</v>
      </c>
      <c r="I95">
        <f>COUNTIF(E95:H95,"Y")</f>
        <v>0</v>
      </c>
    </row>
    <row r="96" spans="1:9">
      <c r="A96" s="4" t="s">
        <v>119</v>
      </c>
      <c r="B96" s="4">
        <v>7113</v>
      </c>
      <c r="E96" s="4" t="s">
        <v>1109</v>
      </c>
      <c r="F96" s="4" t="s">
        <v>1108</v>
      </c>
      <c r="G96" s="4" t="s">
        <v>1108</v>
      </c>
      <c r="H96" s="4" t="s">
        <v>1108</v>
      </c>
      <c r="I96">
        <f>COUNTIF(E96:H96,"Y")</f>
        <v>3</v>
      </c>
    </row>
    <row r="97" spans="1:9">
      <c r="A97" s="4" t="s">
        <v>347</v>
      </c>
      <c r="B97" s="4">
        <v>8626</v>
      </c>
      <c r="E97" s="4" t="s">
        <v>1109</v>
      </c>
      <c r="F97" s="4" t="s">
        <v>1109</v>
      </c>
      <c r="G97" s="4" t="s">
        <v>1109</v>
      </c>
      <c r="H97" s="4" t="s">
        <v>1109</v>
      </c>
      <c r="I97">
        <f>COUNTIF(E97:H97,"Y")</f>
        <v>0</v>
      </c>
    </row>
    <row r="98" spans="1:9">
      <c r="A98" s="4" t="s">
        <v>353</v>
      </c>
      <c r="B98" s="4">
        <v>9246</v>
      </c>
      <c r="E98" s="4" t="s">
        <v>1109</v>
      </c>
      <c r="F98" s="4" t="s">
        <v>1109</v>
      </c>
      <c r="G98" s="4" t="s">
        <v>1109</v>
      </c>
      <c r="H98" s="4" t="s">
        <v>1109</v>
      </c>
      <c r="I98">
        <f>COUNTIF(E98:H98,"Y")</f>
        <v>0</v>
      </c>
    </row>
    <row r="99" spans="1:9">
      <c r="A99" s="4" t="s">
        <v>355</v>
      </c>
      <c r="B99" s="4">
        <v>389136</v>
      </c>
      <c r="E99" s="4" t="s">
        <v>1109</v>
      </c>
      <c r="F99" s="4" t="s">
        <v>1109</v>
      </c>
      <c r="G99" s="4" t="s">
        <v>1109</v>
      </c>
      <c r="H99" s="4" t="s">
        <v>1109</v>
      </c>
      <c r="I99">
        <f>COUNTIF(E99:H99,"Y")</f>
        <v>0</v>
      </c>
    </row>
    <row r="100" spans="1:9">
      <c r="A100" s="4" t="s">
        <v>1103</v>
      </c>
      <c r="B100" s="4">
        <v>7468</v>
      </c>
      <c r="E100" s="4" t="s">
        <v>1109</v>
      </c>
      <c r="F100" s="4" t="s">
        <v>1109</v>
      </c>
      <c r="G100" s="4" t="s">
        <v>1109</v>
      </c>
      <c r="H100" s="4" t="s">
        <v>1109</v>
      </c>
      <c r="I100">
        <f>COUNTIF(E100:H100,"Y")</f>
        <v>0</v>
      </c>
    </row>
    <row r="101" spans="1:9">
      <c r="A101" s="4" t="s">
        <v>360</v>
      </c>
      <c r="B101" s="4">
        <v>51741</v>
      </c>
      <c r="E101" s="4" t="s">
        <v>1109</v>
      </c>
      <c r="F101" s="4" t="s">
        <v>1109</v>
      </c>
      <c r="G101" s="4" t="s">
        <v>1109</v>
      </c>
      <c r="H101" s="4" t="s">
        <v>1109</v>
      </c>
      <c r="I101">
        <f>COUNTIF(E101:H101,"Y")</f>
        <v>0</v>
      </c>
    </row>
    <row r="102" spans="1:9">
      <c r="A102" s="4" t="s">
        <v>366</v>
      </c>
      <c r="B102" s="4">
        <v>146050</v>
      </c>
      <c r="E102" s="4" t="s">
        <v>1109</v>
      </c>
      <c r="F102" s="4" t="s">
        <v>1109</v>
      </c>
      <c r="G102" s="4" t="s">
        <v>1109</v>
      </c>
      <c r="H102" s="4" t="s">
        <v>1109</v>
      </c>
      <c r="I102">
        <f>COUNTIF(E102:H102,"Y")</f>
        <v>0</v>
      </c>
    </row>
    <row r="1048571" customFormat="1"/>
  </sheetData>
  <autoFilter ref="I1:I1048571" xr:uid="{03813835-B7F6-4B87-9F5E-16B2AE6AAF7B}"/>
  <sortState xmlns:xlrd2="http://schemas.microsoft.com/office/spreadsheetml/2017/richdata2" ref="A2:D1048570">
    <sortCondition ref="A2:A1048570"/>
  </sortState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CCA6-C0E1-4BAD-AC78-F68A72574FB4}">
  <dimension ref="A1:I41"/>
  <sheetViews>
    <sheetView workbookViewId="0">
      <selection activeCell="E2" sqref="E2"/>
    </sheetView>
  </sheetViews>
  <sheetFormatPr defaultRowHeight="15"/>
  <cols>
    <col min="1" max="1" width="9.7109375" bestFit="1" customWidth="1"/>
    <col min="2" max="2" width="7" bestFit="1" customWidth="1"/>
    <col min="3" max="3" width="7.28515625" bestFit="1" customWidth="1"/>
    <col min="4" max="4" width="45.85546875" bestFit="1" customWidth="1"/>
    <col min="5" max="5" width="15.5703125" bestFit="1" customWidth="1"/>
    <col min="6" max="6" width="18.28515625" bestFit="1" customWidth="1"/>
    <col min="7" max="8" width="17.28515625" bestFit="1" customWidth="1"/>
  </cols>
  <sheetData>
    <row r="1" spans="1:9" ht="45">
      <c r="A1" s="1" t="s">
        <v>0</v>
      </c>
      <c r="B1" s="1" t="s">
        <v>1</v>
      </c>
      <c r="C1" s="3" t="s">
        <v>382</v>
      </c>
      <c r="D1" s="1" t="s">
        <v>367</v>
      </c>
      <c r="E1" s="3" t="s">
        <v>1095</v>
      </c>
      <c r="F1" s="3" t="s">
        <v>1096</v>
      </c>
      <c r="G1" s="3" t="s">
        <v>1098</v>
      </c>
      <c r="H1" s="3" t="s">
        <v>1099</v>
      </c>
      <c r="I1" s="3" t="s">
        <v>1101</v>
      </c>
    </row>
    <row r="2" spans="1:9" ht="45">
      <c r="A2" s="4" t="s">
        <v>4</v>
      </c>
      <c r="B2" s="4">
        <v>80332</v>
      </c>
      <c r="C2" s="4"/>
      <c r="D2" s="4"/>
      <c r="E2" s="4" t="s">
        <v>1109</v>
      </c>
      <c r="F2" s="4" t="s">
        <v>1109</v>
      </c>
      <c r="G2" s="8" t="s">
        <v>1097</v>
      </c>
      <c r="H2" s="4" t="s">
        <v>1109</v>
      </c>
      <c r="I2">
        <f>COUNTIF(E2:H2,"N")</f>
        <v>3</v>
      </c>
    </row>
    <row r="3" spans="1:9">
      <c r="A3" s="4" t="s">
        <v>123</v>
      </c>
      <c r="B3" s="4">
        <v>57211</v>
      </c>
      <c r="C3" s="4"/>
      <c r="D3" s="4"/>
      <c r="E3" s="4" t="s">
        <v>1108</v>
      </c>
      <c r="F3" s="4" t="s">
        <v>1109</v>
      </c>
      <c r="G3" s="4" t="s">
        <v>1109</v>
      </c>
      <c r="H3" s="4" t="s">
        <v>1108</v>
      </c>
      <c r="I3">
        <f>COUNTIF(E3:H3,"N")</f>
        <v>2</v>
      </c>
    </row>
    <row r="4" spans="1:9">
      <c r="A4" s="4" t="s">
        <v>8</v>
      </c>
      <c r="B4" s="4">
        <v>633</v>
      </c>
      <c r="C4" s="4" t="s">
        <v>1108</v>
      </c>
      <c r="D4" s="4"/>
      <c r="E4" s="4" t="s">
        <v>1109</v>
      </c>
      <c r="F4" s="4" t="s">
        <v>1109</v>
      </c>
      <c r="G4" s="4" t="s">
        <v>1109</v>
      </c>
      <c r="H4" s="4" t="s">
        <v>1109</v>
      </c>
      <c r="I4">
        <f>COUNTIF(E4:H4,"N")</f>
        <v>4</v>
      </c>
    </row>
    <row r="5" spans="1:9" ht="45">
      <c r="A5" s="4" t="s">
        <v>143</v>
      </c>
      <c r="B5" s="4">
        <v>114902</v>
      </c>
      <c r="C5" s="4" t="s">
        <v>1108</v>
      </c>
      <c r="D5" s="8" t="s">
        <v>599</v>
      </c>
      <c r="E5" s="4" t="s">
        <v>1109</v>
      </c>
      <c r="F5" s="4" t="s">
        <v>1109</v>
      </c>
      <c r="G5" s="4" t="s">
        <v>1109</v>
      </c>
      <c r="H5" s="4" t="s">
        <v>1109</v>
      </c>
      <c r="I5">
        <f>COUNTIF(E5:H5,"N")</f>
        <v>4</v>
      </c>
    </row>
    <row r="6" spans="1:9">
      <c r="A6" s="4" t="s">
        <v>11</v>
      </c>
      <c r="B6" s="4">
        <v>716</v>
      </c>
      <c r="C6" s="4" t="s">
        <v>1108</v>
      </c>
      <c r="D6" s="4"/>
      <c r="E6" s="4" t="s">
        <v>1109</v>
      </c>
      <c r="F6" s="4" t="s">
        <v>1109</v>
      </c>
      <c r="G6" s="4" t="s">
        <v>1109</v>
      </c>
      <c r="H6" s="4" t="s">
        <v>1109</v>
      </c>
      <c r="I6">
        <f>COUNTIF(E6:H6,"N")</f>
        <v>4</v>
      </c>
    </row>
    <row r="7" spans="1:9">
      <c r="A7" s="4" t="s">
        <v>12</v>
      </c>
      <c r="B7" s="4">
        <v>800</v>
      </c>
      <c r="C7" s="4"/>
      <c r="D7" s="4"/>
      <c r="E7" s="4" t="s">
        <v>1109</v>
      </c>
      <c r="F7" s="4" t="s">
        <v>1109</v>
      </c>
      <c r="G7" s="4" t="s">
        <v>1109</v>
      </c>
      <c r="H7" s="4" t="s">
        <v>1109</v>
      </c>
      <c r="I7">
        <f>COUNTIF(E7:H7,"N")</f>
        <v>4</v>
      </c>
    </row>
    <row r="8" spans="1:9">
      <c r="A8" s="4" t="s">
        <v>148</v>
      </c>
      <c r="B8" s="4">
        <v>55450</v>
      </c>
      <c r="C8" s="4"/>
      <c r="D8" s="4"/>
      <c r="E8" s="4" t="s">
        <v>1108</v>
      </c>
      <c r="F8" s="4" t="s">
        <v>1109</v>
      </c>
      <c r="G8" s="4" t="s">
        <v>1109</v>
      </c>
      <c r="H8" s="4" t="s">
        <v>1109</v>
      </c>
      <c r="I8">
        <f>COUNTIF(E8:H8,"N")</f>
        <v>3</v>
      </c>
    </row>
    <row r="9" spans="1:9">
      <c r="A9" s="4" t="s">
        <v>13</v>
      </c>
      <c r="B9" s="4">
        <v>858</v>
      </c>
      <c r="C9" s="4"/>
      <c r="D9" s="4"/>
      <c r="E9" s="4" t="s">
        <v>1109</v>
      </c>
      <c r="F9" s="4" t="s">
        <v>1109</v>
      </c>
      <c r="G9" s="4" t="s">
        <v>1109</v>
      </c>
      <c r="H9" s="4" t="s">
        <v>1109</v>
      </c>
      <c r="I9">
        <f>COUNTIF(E9:H9,"N")</f>
        <v>4</v>
      </c>
    </row>
    <row r="10" spans="1:9" ht="45">
      <c r="A10" s="4" t="s">
        <v>15</v>
      </c>
      <c r="B10" s="4">
        <v>1009</v>
      </c>
      <c r="C10" s="4" t="s">
        <v>1108</v>
      </c>
      <c r="D10" s="4"/>
      <c r="E10" s="4" t="s">
        <v>1108</v>
      </c>
      <c r="F10" s="4" t="s">
        <v>1109</v>
      </c>
      <c r="G10" s="8" t="s">
        <v>1097</v>
      </c>
      <c r="H10" s="4" t="s">
        <v>1109</v>
      </c>
      <c r="I10">
        <f>COUNTIF(E10:H10,"N")</f>
        <v>2</v>
      </c>
    </row>
    <row r="11" spans="1:9">
      <c r="A11" s="4" t="s">
        <v>19</v>
      </c>
      <c r="B11" s="4">
        <v>1264</v>
      </c>
      <c r="C11" s="4"/>
      <c r="D11" s="4"/>
      <c r="E11" s="4" t="s">
        <v>1108</v>
      </c>
      <c r="F11" s="4" t="s">
        <v>1109</v>
      </c>
      <c r="G11" s="4" t="s">
        <v>1108</v>
      </c>
      <c r="H11" s="4" t="s">
        <v>1109</v>
      </c>
      <c r="I11">
        <f>COUNTIF(E11:H11,"N")</f>
        <v>2</v>
      </c>
    </row>
    <row r="12" spans="1:9">
      <c r="A12" s="4" t="s">
        <v>22</v>
      </c>
      <c r="B12" s="4">
        <v>1281</v>
      </c>
      <c r="C12" s="4"/>
      <c r="D12" s="4"/>
      <c r="E12" s="4" t="s">
        <v>1109</v>
      </c>
      <c r="F12" s="4" t="s">
        <v>1109</v>
      </c>
      <c r="G12" s="4" t="s">
        <v>1109</v>
      </c>
      <c r="H12" s="4" t="s">
        <v>1109</v>
      </c>
      <c r="I12">
        <f>COUNTIF(E12:H12,"N")</f>
        <v>4</v>
      </c>
    </row>
    <row r="13" spans="1:9" ht="45">
      <c r="A13" s="4" t="s">
        <v>24</v>
      </c>
      <c r="B13" s="4">
        <v>1292</v>
      </c>
      <c r="C13" s="4"/>
      <c r="D13" s="4"/>
      <c r="E13" s="4" t="s">
        <v>1109</v>
      </c>
      <c r="F13" s="4" t="s">
        <v>1109</v>
      </c>
      <c r="G13" s="8" t="s">
        <v>1097</v>
      </c>
      <c r="H13" s="4" t="s">
        <v>1109</v>
      </c>
      <c r="I13">
        <f>COUNTIF(E13:H13,"N")</f>
        <v>3</v>
      </c>
    </row>
    <row r="14" spans="1:9" ht="30">
      <c r="A14" s="4" t="s">
        <v>1094</v>
      </c>
      <c r="B14" s="4">
        <v>1687</v>
      </c>
      <c r="C14" s="4" t="s">
        <v>1108</v>
      </c>
      <c r="D14" s="8" t="s">
        <v>520</v>
      </c>
      <c r="E14" s="4" t="s">
        <v>1109</v>
      </c>
      <c r="F14" s="4" t="s">
        <v>1109</v>
      </c>
      <c r="G14" s="4" t="s">
        <v>1109</v>
      </c>
      <c r="H14" s="4" t="s">
        <v>1109</v>
      </c>
      <c r="I14">
        <f>COUNTIF(E14:H14,"N")</f>
        <v>4</v>
      </c>
    </row>
    <row r="15" spans="1:9" ht="45">
      <c r="A15" s="4" t="s">
        <v>182</v>
      </c>
      <c r="B15" s="4">
        <v>54487</v>
      </c>
      <c r="C15" s="4" t="s">
        <v>1108</v>
      </c>
      <c r="D15" s="8" t="s">
        <v>671</v>
      </c>
      <c r="E15" s="4" t="s">
        <v>1109</v>
      </c>
      <c r="F15" s="4" t="s">
        <v>1109</v>
      </c>
      <c r="G15" s="4" t="s">
        <v>1109</v>
      </c>
      <c r="H15" s="4" t="s">
        <v>1109</v>
      </c>
      <c r="I15">
        <f>COUNTIF(E15:H15,"N")</f>
        <v>4</v>
      </c>
    </row>
    <row r="16" spans="1:9" ht="45">
      <c r="A16" s="4" t="s">
        <v>195</v>
      </c>
      <c r="B16" s="4">
        <v>84173</v>
      </c>
      <c r="C16" s="4"/>
      <c r="D16" s="4"/>
      <c r="E16" s="4" t="s">
        <v>1109</v>
      </c>
      <c r="F16" s="4" t="s">
        <v>1109</v>
      </c>
      <c r="G16" s="8" t="s">
        <v>1097</v>
      </c>
      <c r="H16" s="4" t="s">
        <v>1109</v>
      </c>
      <c r="I16">
        <f>COUNTIF(E16:H16,"N")</f>
        <v>3</v>
      </c>
    </row>
    <row r="17" spans="1:9">
      <c r="A17" s="4" t="s">
        <v>30</v>
      </c>
      <c r="B17" s="4">
        <v>2028</v>
      </c>
      <c r="C17" s="4"/>
      <c r="D17" s="4"/>
      <c r="E17" s="4" t="s">
        <v>1109</v>
      </c>
      <c r="F17" s="4" t="s">
        <v>1109</v>
      </c>
      <c r="G17" s="4" t="s">
        <v>1109</v>
      </c>
      <c r="H17" s="4" t="s">
        <v>1109</v>
      </c>
      <c r="I17">
        <f>COUNTIF(E17:H17,"N")</f>
        <v>4</v>
      </c>
    </row>
    <row r="18" spans="1:9" ht="60">
      <c r="A18" s="7" t="s">
        <v>31</v>
      </c>
      <c r="B18" s="7">
        <v>2078</v>
      </c>
      <c r="C18" s="7"/>
      <c r="D18" s="7"/>
      <c r="E18" s="4" t="s">
        <v>1109</v>
      </c>
      <c r="F18" s="4" t="s">
        <v>1109</v>
      </c>
      <c r="G18" s="8" t="s">
        <v>1100</v>
      </c>
      <c r="H18" s="4" t="s">
        <v>1109</v>
      </c>
      <c r="I18">
        <f>COUNTIF(E18:H18,"N")</f>
        <v>3</v>
      </c>
    </row>
    <row r="19" spans="1:9">
      <c r="A19" s="4" t="s">
        <v>33</v>
      </c>
      <c r="B19" s="4">
        <v>2200</v>
      </c>
      <c r="C19" s="4"/>
      <c r="D19" s="4"/>
      <c r="E19" s="4" t="s">
        <v>1109</v>
      </c>
      <c r="F19" s="4" t="s">
        <v>1109</v>
      </c>
      <c r="G19" s="4" t="s">
        <v>1109</v>
      </c>
      <c r="H19" s="4" t="s">
        <v>1108</v>
      </c>
      <c r="I19">
        <f>COUNTIF(E19:H19,"N")</f>
        <v>3</v>
      </c>
    </row>
    <row r="20" spans="1:9">
      <c r="A20" s="4" t="s">
        <v>34</v>
      </c>
      <c r="B20" s="4">
        <v>2273</v>
      </c>
      <c r="C20" s="4"/>
      <c r="D20" s="4"/>
      <c r="E20" s="4" t="s">
        <v>1109</v>
      </c>
      <c r="F20" s="4" t="s">
        <v>1109</v>
      </c>
      <c r="G20" s="4" t="s">
        <v>1109</v>
      </c>
      <c r="H20" s="4" t="s">
        <v>1109</v>
      </c>
      <c r="I20">
        <f>COUNTIF(E20:H20,"N")</f>
        <v>4</v>
      </c>
    </row>
    <row r="21" spans="1:9" ht="30">
      <c r="A21" s="4" t="s">
        <v>35</v>
      </c>
      <c r="B21" s="4">
        <v>2321</v>
      </c>
      <c r="C21" s="4" t="s">
        <v>1108</v>
      </c>
      <c r="D21" s="8" t="s">
        <v>477</v>
      </c>
      <c r="E21" s="4" t="s">
        <v>1109</v>
      </c>
      <c r="F21" s="4" t="s">
        <v>1109</v>
      </c>
      <c r="G21" s="4" t="s">
        <v>1109</v>
      </c>
      <c r="H21" s="4" t="s">
        <v>1109</v>
      </c>
      <c r="I21">
        <f>COUNTIF(E21:H21,"N")</f>
        <v>4</v>
      </c>
    </row>
    <row r="22" spans="1:9">
      <c r="A22" s="4" t="s">
        <v>36</v>
      </c>
      <c r="B22" s="4">
        <v>2335</v>
      </c>
      <c r="C22" s="4"/>
      <c r="D22" s="4"/>
      <c r="E22" s="4" t="s">
        <v>1109</v>
      </c>
      <c r="F22" s="4" t="s">
        <v>1109</v>
      </c>
      <c r="G22" s="4" t="s">
        <v>1109</v>
      </c>
      <c r="H22" s="4" t="s">
        <v>1109</v>
      </c>
      <c r="I22">
        <f>COUNTIF(E22:H22,"N")</f>
        <v>4</v>
      </c>
    </row>
    <row r="23" spans="1:9" ht="45">
      <c r="A23" s="4" t="s">
        <v>209</v>
      </c>
      <c r="B23" s="4">
        <v>2356</v>
      </c>
      <c r="C23" s="4"/>
      <c r="D23" s="4"/>
      <c r="E23" s="4" t="s">
        <v>1109</v>
      </c>
      <c r="F23" s="4" t="s">
        <v>1109</v>
      </c>
      <c r="G23" s="8" t="s">
        <v>1097</v>
      </c>
      <c r="H23" s="4" t="s">
        <v>1109</v>
      </c>
      <c r="I23">
        <f>COUNTIF(E23:H23,"N")</f>
        <v>3</v>
      </c>
    </row>
    <row r="24" spans="1:9">
      <c r="A24" s="4" t="s">
        <v>39</v>
      </c>
      <c r="B24" s="4">
        <v>283431</v>
      </c>
      <c r="C24" s="4"/>
      <c r="D24" s="4"/>
      <c r="E24" s="4" t="s">
        <v>1109</v>
      </c>
      <c r="F24" s="4" t="s">
        <v>1109</v>
      </c>
      <c r="G24" s="4" t="s">
        <v>1109</v>
      </c>
      <c r="H24" s="4" t="s">
        <v>1109</v>
      </c>
      <c r="I24">
        <f>COUNTIF(E24:H24,"N")</f>
        <v>4</v>
      </c>
    </row>
    <row r="25" spans="1:9" ht="45">
      <c r="A25" s="4" t="s">
        <v>41</v>
      </c>
      <c r="B25" s="4">
        <v>2934</v>
      </c>
      <c r="C25" s="4" t="s">
        <v>1108</v>
      </c>
      <c r="D25" s="8" t="s">
        <v>599</v>
      </c>
      <c r="E25" s="4" t="s">
        <v>1109</v>
      </c>
      <c r="F25" s="4" t="s">
        <v>1109</v>
      </c>
      <c r="G25" s="4" t="s">
        <v>1109</v>
      </c>
      <c r="H25" s="4" t="s">
        <v>1109</v>
      </c>
      <c r="I25">
        <f>COUNTIF(E25:H25,"N")</f>
        <v>4</v>
      </c>
    </row>
    <row r="26" spans="1:9">
      <c r="A26" s="4" t="s">
        <v>223</v>
      </c>
      <c r="B26" s="4">
        <v>2950</v>
      </c>
      <c r="C26" s="4"/>
      <c r="D26" s="4"/>
      <c r="E26" s="4" t="s">
        <v>1109</v>
      </c>
      <c r="F26" s="4" t="s">
        <v>1109</v>
      </c>
      <c r="G26" s="4" t="s">
        <v>1109</v>
      </c>
      <c r="H26" s="4" t="s">
        <v>1109</v>
      </c>
      <c r="I26">
        <f>COUNTIF(E26:H26,"N")</f>
        <v>4</v>
      </c>
    </row>
    <row r="27" spans="1:9">
      <c r="A27" s="4" t="s">
        <v>55</v>
      </c>
      <c r="B27" s="4">
        <v>3716</v>
      </c>
      <c r="C27" s="4"/>
      <c r="D27" s="4"/>
      <c r="E27" s="4" t="s">
        <v>1109</v>
      </c>
      <c r="F27" s="4" t="s">
        <v>1109</v>
      </c>
      <c r="G27" s="4" t="s">
        <v>1109</v>
      </c>
      <c r="H27" s="4" t="s">
        <v>1109</v>
      </c>
      <c r="I27">
        <f>COUNTIF(E27:H27,"N")</f>
        <v>4</v>
      </c>
    </row>
    <row r="28" spans="1:9">
      <c r="A28" s="4" t="s">
        <v>56</v>
      </c>
      <c r="B28" s="4">
        <v>3791</v>
      </c>
      <c r="C28" s="4" t="s">
        <v>1108</v>
      </c>
      <c r="D28" s="4" t="s">
        <v>497</v>
      </c>
      <c r="E28" s="4" t="s">
        <v>1109</v>
      </c>
      <c r="F28" s="4" t="s">
        <v>1109</v>
      </c>
      <c r="G28" s="4" t="s">
        <v>1109</v>
      </c>
      <c r="H28" s="4" t="s">
        <v>1109</v>
      </c>
      <c r="I28">
        <f>COUNTIF(E28:H28,"N")</f>
        <v>4</v>
      </c>
    </row>
    <row r="29" spans="1:9" ht="45">
      <c r="A29" s="4" t="s">
        <v>247</v>
      </c>
      <c r="B29" s="4">
        <v>221496</v>
      </c>
      <c r="C29" s="4"/>
      <c r="D29" s="8" t="s">
        <v>841</v>
      </c>
      <c r="E29" s="4" t="s">
        <v>1109</v>
      </c>
      <c r="F29" s="8" t="s">
        <v>1093</v>
      </c>
      <c r="G29" s="4" t="s">
        <v>1109</v>
      </c>
      <c r="H29" s="4" t="s">
        <v>1109</v>
      </c>
      <c r="I29">
        <f>COUNTIF(E29:H29,"N")</f>
        <v>3</v>
      </c>
    </row>
    <row r="30" spans="1:9">
      <c r="A30" s="4" t="s">
        <v>250</v>
      </c>
      <c r="B30" s="4">
        <v>57633</v>
      </c>
      <c r="C30" s="4"/>
      <c r="D30" s="4"/>
      <c r="E30" s="4" t="s">
        <v>1109</v>
      </c>
      <c r="F30" s="4" t="s">
        <v>1109</v>
      </c>
      <c r="G30" s="4" t="s">
        <v>1108</v>
      </c>
      <c r="H30" s="4" t="s">
        <v>1109</v>
      </c>
      <c r="I30">
        <f>COUNTIF(E30:H30,"N")</f>
        <v>3</v>
      </c>
    </row>
    <row r="31" spans="1:9">
      <c r="A31" s="4" t="s">
        <v>258</v>
      </c>
      <c r="B31" s="4">
        <v>9902</v>
      </c>
      <c r="C31" s="4"/>
      <c r="D31" s="4"/>
      <c r="E31" s="4" t="s">
        <v>1109</v>
      </c>
      <c r="F31" s="4" t="s">
        <v>1109</v>
      </c>
      <c r="G31" s="4" t="s">
        <v>1109</v>
      </c>
      <c r="H31" s="4" t="s">
        <v>1109</v>
      </c>
      <c r="I31">
        <f>COUNTIF(E31:H31,"N")</f>
        <v>4</v>
      </c>
    </row>
    <row r="32" spans="1:9">
      <c r="A32" s="4" t="s">
        <v>61</v>
      </c>
      <c r="B32" s="4">
        <v>4638</v>
      </c>
      <c r="C32" s="4"/>
      <c r="D32" s="4"/>
      <c r="E32" s="4" t="s">
        <v>1109</v>
      </c>
      <c r="F32" s="4" t="s">
        <v>1109</v>
      </c>
      <c r="G32" s="4" t="s">
        <v>1108</v>
      </c>
      <c r="H32" s="4" t="s">
        <v>1109</v>
      </c>
      <c r="I32">
        <f>COUNTIF(E32:H32,"N")</f>
        <v>3</v>
      </c>
    </row>
    <row r="33" spans="1:9">
      <c r="A33" s="4" t="s">
        <v>65</v>
      </c>
      <c r="B33" s="4">
        <v>25903</v>
      </c>
      <c r="C33" s="4" t="s">
        <v>1108</v>
      </c>
      <c r="D33" s="4" t="s">
        <v>523</v>
      </c>
      <c r="E33" s="4" t="s">
        <v>1109</v>
      </c>
      <c r="F33" s="4" t="s">
        <v>1109</v>
      </c>
      <c r="G33" s="4" t="s">
        <v>1109</v>
      </c>
      <c r="H33" s="4" t="s">
        <v>1109</v>
      </c>
      <c r="I33">
        <f>COUNTIF(E33:H33,"N")</f>
        <v>4</v>
      </c>
    </row>
    <row r="34" spans="1:9">
      <c r="A34" s="4" t="s">
        <v>67</v>
      </c>
      <c r="B34" s="4">
        <v>5159</v>
      </c>
      <c r="C34" s="4"/>
      <c r="D34" s="4" t="s">
        <v>521</v>
      </c>
      <c r="E34" s="4" t="s">
        <v>1108</v>
      </c>
      <c r="F34" s="4" t="s">
        <v>1109</v>
      </c>
      <c r="G34" s="4" t="s">
        <v>1109</v>
      </c>
      <c r="H34" s="4" t="s">
        <v>1109</v>
      </c>
      <c r="I34">
        <f>COUNTIF(E34:H34,"N")</f>
        <v>3</v>
      </c>
    </row>
    <row r="35" spans="1:9" ht="45">
      <c r="A35" s="4" t="s">
        <v>68</v>
      </c>
      <c r="B35" s="4">
        <v>9260</v>
      </c>
      <c r="C35" s="4"/>
      <c r="D35" s="4"/>
      <c r="E35" s="4" t="s">
        <v>1108</v>
      </c>
      <c r="F35" s="4" t="s">
        <v>1109</v>
      </c>
      <c r="G35" s="8" t="s">
        <v>1097</v>
      </c>
      <c r="H35" s="4" t="s">
        <v>1108</v>
      </c>
      <c r="I35">
        <f>COUNTIF(E35:H35,"N")</f>
        <v>1</v>
      </c>
    </row>
    <row r="36" spans="1:9">
      <c r="A36" s="4" t="s">
        <v>74</v>
      </c>
      <c r="B36" s="4">
        <v>11030</v>
      </c>
      <c r="C36" s="4"/>
      <c r="D36" s="4"/>
      <c r="E36" s="4" t="s">
        <v>1109</v>
      </c>
      <c r="F36" s="4" t="s">
        <v>1109</v>
      </c>
      <c r="G36" s="4" t="s">
        <v>1109</v>
      </c>
      <c r="H36" s="4" t="s">
        <v>1109</v>
      </c>
      <c r="I36">
        <f>COUNTIF(E36:H36,"N")</f>
        <v>4</v>
      </c>
    </row>
    <row r="37" spans="1:9">
      <c r="A37" s="4" t="s">
        <v>319</v>
      </c>
      <c r="B37" s="4">
        <v>159963</v>
      </c>
      <c r="C37" s="4"/>
      <c r="D37" s="4"/>
      <c r="E37" s="4" t="s">
        <v>1109</v>
      </c>
      <c r="F37" s="4" t="s">
        <v>1109</v>
      </c>
      <c r="G37" s="4" t="s">
        <v>1109</v>
      </c>
      <c r="H37" s="4" t="s">
        <v>1108</v>
      </c>
      <c r="I37">
        <f>COUNTIF(E37:H37,"N")</f>
        <v>3</v>
      </c>
    </row>
    <row r="38" spans="1:9" ht="30">
      <c r="A38" s="4" t="s">
        <v>78</v>
      </c>
      <c r="B38" s="4">
        <v>6678</v>
      </c>
      <c r="C38" s="4" t="s">
        <v>1108</v>
      </c>
      <c r="D38" s="8" t="s">
        <v>529</v>
      </c>
      <c r="E38" s="4" t="s">
        <v>1109</v>
      </c>
      <c r="F38" s="4" t="s">
        <v>1109</v>
      </c>
      <c r="G38" s="4" t="s">
        <v>1109</v>
      </c>
      <c r="H38" s="4" t="s">
        <v>1109</v>
      </c>
      <c r="I38">
        <f>COUNTIF(E38:H38,"N")</f>
        <v>4</v>
      </c>
    </row>
    <row r="39" spans="1:9">
      <c r="A39" s="4" t="s">
        <v>83</v>
      </c>
      <c r="B39" s="4">
        <v>7070</v>
      </c>
      <c r="C39" s="4"/>
      <c r="D39" s="4" t="s">
        <v>524</v>
      </c>
      <c r="E39" s="4" t="s">
        <v>1109</v>
      </c>
      <c r="F39" s="4" t="s">
        <v>1109</v>
      </c>
      <c r="G39" s="4" t="s">
        <v>1109</v>
      </c>
      <c r="H39" s="4" t="s">
        <v>1109</v>
      </c>
      <c r="I39">
        <f>COUNTIF(E39:H39,"N")</f>
        <v>4</v>
      </c>
    </row>
    <row r="40" spans="1:9">
      <c r="A40" s="4" t="s">
        <v>88</v>
      </c>
      <c r="B40" s="4">
        <v>6935</v>
      </c>
      <c r="C40" s="4"/>
      <c r="D40" s="8"/>
      <c r="E40" s="4" t="s">
        <v>1108</v>
      </c>
      <c r="F40" s="4" t="s">
        <v>1109</v>
      </c>
      <c r="G40" s="4" t="s">
        <v>1109</v>
      </c>
      <c r="H40" s="4" t="s">
        <v>1109</v>
      </c>
      <c r="I40">
        <f>COUNTIF(E40:H40,"N")</f>
        <v>3</v>
      </c>
    </row>
    <row r="41" spans="1:9" ht="30">
      <c r="A41" s="4" t="s">
        <v>363</v>
      </c>
      <c r="B41" s="4">
        <v>55713</v>
      </c>
      <c r="C41" s="4"/>
      <c r="D41" s="4"/>
      <c r="E41" s="4" t="s">
        <v>1108</v>
      </c>
      <c r="F41" s="8" t="s">
        <v>1093</v>
      </c>
      <c r="G41" s="4" t="s">
        <v>1109</v>
      </c>
      <c r="H41" s="4" t="s">
        <v>1108</v>
      </c>
      <c r="I41">
        <f>COUNTIF(E41:H41,"N")</f>
        <v>1</v>
      </c>
    </row>
  </sheetData>
  <autoFilter ref="I1:I41" xr:uid="{8BCFCCA6-C0E1-4BAD-AC78-F68A72574FB4}"/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2F60-C080-4D64-B320-49518EE9F902}">
  <dimension ref="A1:I34"/>
  <sheetViews>
    <sheetView tabSelected="1" workbookViewId="0">
      <selection activeCell="F2" sqref="F2"/>
    </sheetView>
  </sheetViews>
  <sheetFormatPr defaultRowHeight="15"/>
  <cols>
    <col min="2" max="2" width="7" bestFit="1" customWidth="1"/>
    <col min="3" max="3" width="7.28515625" bestFit="1" customWidth="1"/>
    <col min="4" max="4" width="52.28515625" bestFit="1" customWidth="1"/>
    <col min="5" max="6" width="18.28515625" bestFit="1" customWidth="1"/>
    <col min="7" max="7" width="23.140625" bestFit="1" customWidth="1"/>
    <col min="8" max="8" width="25.28515625" bestFit="1" customWidth="1"/>
  </cols>
  <sheetData>
    <row r="1" spans="1:9" ht="45">
      <c r="A1" s="1" t="s">
        <v>0</v>
      </c>
      <c r="B1" s="1" t="s">
        <v>1</v>
      </c>
      <c r="C1" s="3" t="s">
        <v>382</v>
      </c>
      <c r="D1" s="1" t="s">
        <v>367</v>
      </c>
      <c r="E1" s="3" t="s">
        <v>1095</v>
      </c>
      <c r="F1" s="3" t="s">
        <v>1096</v>
      </c>
      <c r="G1" s="3" t="s">
        <v>1098</v>
      </c>
      <c r="H1" s="3" t="s">
        <v>1099</v>
      </c>
      <c r="I1" s="3" t="s">
        <v>1104</v>
      </c>
    </row>
    <row r="2" spans="1:9" ht="30">
      <c r="A2" s="4" t="s">
        <v>120</v>
      </c>
      <c r="B2" s="4">
        <v>21</v>
      </c>
      <c r="C2" s="4"/>
      <c r="D2" s="4"/>
      <c r="E2" s="8" t="s">
        <v>1093</v>
      </c>
      <c r="F2" s="4" t="s">
        <v>1109</v>
      </c>
      <c r="G2" s="4" t="s">
        <v>1109</v>
      </c>
      <c r="H2" s="4" t="s">
        <v>1108</v>
      </c>
      <c r="I2">
        <v>1</v>
      </c>
    </row>
    <row r="3" spans="1:9">
      <c r="A3" s="4" t="s">
        <v>121</v>
      </c>
      <c r="B3" s="4">
        <v>27034</v>
      </c>
      <c r="C3" s="4"/>
      <c r="D3" s="4"/>
      <c r="E3" s="4" t="s">
        <v>1109</v>
      </c>
      <c r="F3" s="4" t="s">
        <v>1109</v>
      </c>
      <c r="G3" s="4" t="s">
        <v>1108</v>
      </c>
      <c r="H3" s="4" t="s">
        <v>1109</v>
      </c>
      <c r="I3">
        <v>1</v>
      </c>
    </row>
    <row r="4" spans="1:9" ht="30">
      <c r="A4" s="4" t="s">
        <v>127</v>
      </c>
      <c r="B4" s="4">
        <v>23600</v>
      </c>
      <c r="C4" s="4"/>
      <c r="D4" s="4" t="s">
        <v>564</v>
      </c>
      <c r="E4" s="4" t="s">
        <v>1109</v>
      </c>
      <c r="F4" s="4" t="s">
        <v>1109</v>
      </c>
      <c r="G4" s="4" t="s">
        <v>1108</v>
      </c>
      <c r="H4" s="8" t="s">
        <v>1097</v>
      </c>
      <c r="I4">
        <v>1</v>
      </c>
    </row>
    <row r="5" spans="1:9">
      <c r="A5" s="4" t="s">
        <v>91</v>
      </c>
      <c r="B5" s="4">
        <v>262</v>
      </c>
      <c r="C5" s="4"/>
      <c r="D5" s="4"/>
      <c r="E5" s="4" t="s">
        <v>1109</v>
      </c>
      <c r="F5" s="4" t="s">
        <v>1108</v>
      </c>
      <c r="G5" s="4" t="s">
        <v>1108</v>
      </c>
      <c r="H5" s="4" t="s">
        <v>1109</v>
      </c>
      <c r="I5">
        <v>2</v>
      </c>
    </row>
    <row r="6" spans="1:9">
      <c r="A6" s="4" t="s">
        <v>134</v>
      </c>
      <c r="B6" s="4">
        <v>367</v>
      </c>
      <c r="C6" s="4"/>
      <c r="D6" s="4"/>
      <c r="E6" s="4" t="s">
        <v>1108</v>
      </c>
      <c r="F6" s="4" t="s">
        <v>1108</v>
      </c>
      <c r="G6" s="4" t="s">
        <v>1108</v>
      </c>
      <c r="H6" s="4" t="s">
        <v>1108</v>
      </c>
      <c r="I6">
        <v>4</v>
      </c>
    </row>
    <row r="7" spans="1:9">
      <c r="A7" s="4" t="s">
        <v>136</v>
      </c>
      <c r="B7" s="4">
        <v>467</v>
      </c>
      <c r="C7" s="4"/>
      <c r="D7" s="4"/>
      <c r="E7" s="4" t="s">
        <v>1109</v>
      </c>
      <c r="F7" s="4" t="s">
        <v>1109</v>
      </c>
      <c r="G7" s="4" t="s">
        <v>1109</v>
      </c>
      <c r="H7" s="4" t="s">
        <v>1108</v>
      </c>
      <c r="I7">
        <v>1</v>
      </c>
    </row>
    <row r="8" spans="1:9">
      <c r="A8" s="4" t="s">
        <v>92</v>
      </c>
      <c r="B8" s="4">
        <v>563</v>
      </c>
      <c r="C8" s="4"/>
      <c r="D8" s="4"/>
      <c r="E8" s="4" t="s">
        <v>1108</v>
      </c>
      <c r="F8" s="4" t="s">
        <v>1108</v>
      </c>
      <c r="G8" s="4" t="s">
        <v>1108</v>
      </c>
      <c r="H8" s="4" t="s">
        <v>1108</v>
      </c>
      <c r="I8">
        <v>4</v>
      </c>
    </row>
    <row r="9" spans="1:9">
      <c r="A9" s="4" t="s">
        <v>152</v>
      </c>
      <c r="B9" s="4">
        <v>847</v>
      </c>
      <c r="C9" s="4"/>
      <c r="D9" s="4"/>
      <c r="E9" s="4" t="s">
        <v>1109</v>
      </c>
      <c r="F9" s="4" t="s">
        <v>1109</v>
      </c>
      <c r="G9" s="4" t="s">
        <v>1109</v>
      </c>
      <c r="H9" s="4" t="s">
        <v>1108</v>
      </c>
      <c r="I9">
        <v>1</v>
      </c>
    </row>
    <row r="10" spans="1:9">
      <c r="A10" s="4" t="s">
        <v>162</v>
      </c>
      <c r="B10" s="4">
        <v>1027</v>
      </c>
      <c r="C10" s="4"/>
      <c r="D10" s="4"/>
      <c r="E10" s="4" t="s">
        <v>1109</v>
      </c>
      <c r="F10" s="4" t="s">
        <v>1109</v>
      </c>
      <c r="G10" s="4" t="s">
        <v>1109</v>
      </c>
      <c r="H10" s="4" t="s">
        <v>1108</v>
      </c>
      <c r="I10">
        <v>1</v>
      </c>
    </row>
    <row r="11" spans="1:9">
      <c r="A11" s="4" t="s">
        <v>171</v>
      </c>
      <c r="B11" s="4">
        <v>113540</v>
      </c>
      <c r="C11" s="4"/>
      <c r="D11" s="4"/>
      <c r="E11" s="4" t="s">
        <v>1109</v>
      </c>
      <c r="F11" s="4" t="s">
        <v>1109</v>
      </c>
      <c r="G11" s="4" t="s">
        <v>1109</v>
      </c>
      <c r="H11" s="4" t="s">
        <v>1108</v>
      </c>
      <c r="I11">
        <v>1</v>
      </c>
    </row>
    <row r="12" spans="1:9">
      <c r="A12" s="4" t="s">
        <v>95</v>
      </c>
      <c r="B12" s="4">
        <v>131034</v>
      </c>
      <c r="C12" s="4" t="s">
        <v>1108</v>
      </c>
      <c r="D12" s="4"/>
      <c r="E12" s="4" t="s">
        <v>1108</v>
      </c>
      <c r="F12" s="4" t="s">
        <v>1108</v>
      </c>
      <c r="G12" s="4" t="s">
        <v>1108</v>
      </c>
      <c r="H12" s="4" t="s">
        <v>1108</v>
      </c>
      <c r="I12">
        <v>4</v>
      </c>
    </row>
    <row r="13" spans="1:9" ht="30">
      <c r="A13" s="4" t="s">
        <v>179</v>
      </c>
      <c r="B13" s="4">
        <v>1588</v>
      </c>
      <c r="C13" s="4"/>
      <c r="D13" s="8" t="s">
        <v>640</v>
      </c>
      <c r="E13" s="4" t="s">
        <v>1108</v>
      </c>
      <c r="F13" s="4" t="s">
        <v>1109</v>
      </c>
      <c r="G13" s="4" t="s">
        <v>1109</v>
      </c>
      <c r="H13" s="4" t="s">
        <v>1108</v>
      </c>
      <c r="I13">
        <v>2</v>
      </c>
    </row>
    <row r="14" spans="1:9" ht="30">
      <c r="A14" s="4" t="s">
        <v>181</v>
      </c>
      <c r="B14" s="4">
        <v>9681</v>
      </c>
      <c r="C14" s="4"/>
      <c r="D14" s="4"/>
      <c r="E14" s="8" t="s">
        <v>1093</v>
      </c>
      <c r="F14" s="4" t="s">
        <v>1109</v>
      </c>
      <c r="G14" s="4" t="s">
        <v>1109</v>
      </c>
      <c r="H14" s="4" t="s">
        <v>1108</v>
      </c>
      <c r="I14">
        <v>1</v>
      </c>
    </row>
    <row r="15" spans="1:9">
      <c r="A15" s="4" t="s">
        <v>186</v>
      </c>
      <c r="B15" s="4">
        <v>1769</v>
      </c>
      <c r="C15" s="4"/>
      <c r="D15" s="4"/>
      <c r="E15" s="4" t="s">
        <v>1109</v>
      </c>
      <c r="F15" s="4" t="s">
        <v>1108</v>
      </c>
      <c r="G15" s="4" t="s">
        <v>1108</v>
      </c>
      <c r="H15" s="4" t="s">
        <v>1109</v>
      </c>
      <c r="I15">
        <v>2</v>
      </c>
    </row>
    <row r="16" spans="1:9" ht="30">
      <c r="A16" s="4" t="s">
        <v>201</v>
      </c>
      <c r="B16" s="4">
        <v>2152</v>
      </c>
      <c r="C16" s="4"/>
      <c r="D16" s="4"/>
      <c r="E16" s="4" t="s">
        <v>1109</v>
      </c>
      <c r="F16" s="4" t="s">
        <v>1109</v>
      </c>
      <c r="G16" s="8" t="s">
        <v>1097</v>
      </c>
      <c r="H16" s="4" t="s">
        <v>1108</v>
      </c>
      <c r="I16">
        <v>1</v>
      </c>
    </row>
    <row r="17" spans="1:9">
      <c r="A17" s="4" t="s">
        <v>208</v>
      </c>
      <c r="B17" s="4">
        <v>2346</v>
      </c>
      <c r="C17" s="4"/>
      <c r="D17" s="4"/>
      <c r="E17" s="4" t="s">
        <v>1108</v>
      </c>
      <c r="F17" s="4" t="s">
        <v>1108</v>
      </c>
      <c r="G17" s="4" t="s">
        <v>1108</v>
      </c>
      <c r="H17" s="4" t="s">
        <v>1108</v>
      </c>
      <c r="I17">
        <v>4</v>
      </c>
    </row>
    <row r="18" spans="1:9" ht="30">
      <c r="A18" s="4" t="s">
        <v>98</v>
      </c>
      <c r="B18" s="4">
        <v>9518</v>
      </c>
      <c r="C18" s="4"/>
      <c r="D18" s="4"/>
      <c r="E18" s="4" t="s">
        <v>1109</v>
      </c>
      <c r="F18" s="4" t="s">
        <v>1109</v>
      </c>
      <c r="G18" s="4" t="s">
        <v>1108</v>
      </c>
      <c r="H18" s="8" t="s">
        <v>1097</v>
      </c>
      <c r="I18">
        <v>1</v>
      </c>
    </row>
    <row r="19" spans="1:9" ht="30">
      <c r="A19" s="4" t="s">
        <v>217</v>
      </c>
      <c r="B19" s="4">
        <v>10020</v>
      </c>
      <c r="C19" s="4" t="s">
        <v>1108</v>
      </c>
      <c r="D19" s="8" t="s">
        <v>768</v>
      </c>
      <c r="E19" s="4" t="s">
        <v>1109</v>
      </c>
      <c r="F19" s="4" t="s">
        <v>1109</v>
      </c>
      <c r="G19" s="8" t="s">
        <v>1097</v>
      </c>
      <c r="H19" s="4" t="s">
        <v>1108</v>
      </c>
      <c r="I19">
        <v>1</v>
      </c>
    </row>
    <row r="20" spans="1:9" ht="30">
      <c r="A20" s="4" t="s">
        <v>227</v>
      </c>
      <c r="B20" s="4">
        <v>9734</v>
      </c>
      <c r="C20" s="4"/>
      <c r="D20" s="4"/>
      <c r="E20" s="4" t="s">
        <v>1109</v>
      </c>
      <c r="F20" s="4" t="s">
        <v>1108</v>
      </c>
      <c r="G20" s="8" t="s">
        <v>1097</v>
      </c>
      <c r="H20" s="4" t="s">
        <v>1109</v>
      </c>
      <c r="I20">
        <v>1</v>
      </c>
    </row>
    <row r="21" spans="1:9" ht="30">
      <c r="A21" s="4" t="s">
        <v>232</v>
      </c>
      <c r="B21" s="4">
        <v>3295</v>
      </c>
      <c r="C21" s="4"/>
      <c r="D21" s="4"/>
      <c r="E21" s="4" t="s">
        <v>1109</v>
      </c>
      <c r="F21" s="4" t="s">
        <v>1109</v>
      </c>
      <c r="G21" s="4" t="s">
        <v>1108</v>
      </c>
      <c r="H21" s="8" t="s">
        <v>1097</v>
      </c>
      <c r="I21">
        <v>1</v>
      </c>
    </row>
    <row r="22" spans="1:9">
      <c r="A22" s="4" t="s">
        <v>100</v>
      </c>
      <c r="B22" s="4">
        <v>354</v>
      </c>
      <c r="C22" s="4"/>
      <c r="D22" s="4"/>
      <c r="E22" s="4" t="s">
        <v>1108</v>
      </c>
      <c r="F22" s="4" t="s">
        <v>1108</v>
      </c>
      <c r="G22" s="4" t="s">
        <v>1108</v>
      </c>
      <c r="H22" s="4" t="s">
        <v>1108</v>
      </c>
      <c r="I22">
        <v>4</v>
      </c>
    </row>
    <row r="23" spans="1:9" ht="30">
      <c r="A23" s="4" t="s">
        <v>244</v>
      </c>
      <c r="B23" s="4">
        <v>3861</v>
      </c>
      <c r="C23" s="4"/>
      <c r="D23" s="4"/>
      <c r="E23" s="8" t="s">
        <v>1093</v>
      </c>
      <c r="F23" s="4" t="s">
        <v>1108</v>
      </c>
      <c r="G23" s="4" t="s">
        <v>1109</v>
      </c>
      <c r="H23" s="4" t="s">
        <v>1109</v>
      </c>
      <c r="I23">
        <v>1</v>
      </c>
    </row>
    <row r="24" spans="1:9" ht="30">
      <c r="A24" s="4" t="s">
        <v>103</v>
      </c>
      <c r="B24" s="4">
        <v>79083</v>
      </c>
      <c r="C24" s="4"/>
      <c r="D24" s="4"/>
      <c r="E24" s="8" t="s">
        <v>1093</v>
      </c>
      <c r="F24" s="4" t="s">
        <v>1108</v>
      </c>
      <c r="G24" s="4" t="s">
        <v>1108</v>
      </c>
      <c r="H24" s="8" t="s">
        <v>1097</v>
      </c>
      <c r="I24">
        <v>2</v>
      </c>
    </row>
    <row r="25" spans="1:9">
      <c r="A25" s="4" t="s">
        <v>110</v>
      </c>
      <c r="B25" s="4">
        <v>4824</v>
      </c>
      <c r="C25" s="4"/>
      <c r="D25" s="4"/>
      <c r="E25" s="4" t="s">
        <v>1108</v>
      </c>
      <c r="F25" s="4" t="s">
        <v>1108</v>
      </c>
      <c r="G25" s="4" t="s">
        <v>1108</v>
      </c>
      <c r="H25" s="4" t="s">
        <v>1108</v>
      </c>
      <c r="I25">
        <v>4</v>
      </c>
    </row>
    <row r="26" spans="1:9">
      <c r="A26" s="4" t="s">
        <v>283</v>
      </c>
      <c r="B26" s="4">
        <v>5046</v>
      </c>
      <c r="C26" s="4"/>
      <c r="D26" s="4"/>
      <c r="E26" s="4" t="s">
        <v>1109</v>
      </c>
      <c r="F26" s="4" t="s">
        <v>1109</v>
      </c>
      <c r="G26" s="4" t="s">
        <v>1109</v>
      </c>
      <c r="H26" s="4" t="s">
        <v>1108</v>
      </c>
      <c r="I26">
        <v>1</v>
      </c>
    </row>
    <row r="27" spans="1:9">
      <c r="A27" s="4" t="s">
        <v>69</v>
      </c>
      <c r="B27" s="4">
        <v>51050</v>
      </c>
      <c r="C27" s="4"/>
      <c r="D27" s="4" t="s">
        <v>442</v>
      </c>
      <c r="E27" s="4" t="s">
        <v>1109</v>
      </c>
      <c r="F27" s="4" t="s">
        <v>1108</v>
      </c>
      <c r="G27" s="4" t="s">
        <v>1108</v>
      </c>
      <c r="H27" s="4" t="s">
        <v>1109</v>
      </c>
      <c r="I27">
        <v>2</v>
      </c>
    </row>
    <row r="28" spans="1:9">
      <c r="A28" s="4" t="s">
        <v>114</v>
      </c>
      <c r="B28" s="4">
        <v>5873</v>
      </c>
      <c r="C28" s="4"/>
      <c r="D28" s="4"/>
      <c r="E28" s="4" t="s">
        <v>1108</v>
      </c>
      <c r="F28" s="4" t="s">
        <v>1108</v>
      </c>
      <c r="G28" s="4" t="s">
        <v>1108</v>
      </c>
      <c r="H28" s="4" t="s">
        <v>1108</v>
      </c>
      <c r="I28">
        <v>4</v>
      </c>
    </row>
    <row r="29" spans="1:9">
      <c r="A29" s="4" t="s">
        <v>115</v>
      </c>
      <c r="B29" s="4">
        <v>5909</v>
      </c>
      <c r="C29" s="4"/>
      <c r="D29" s="4"/>
      <c r="E29" s="4" t="s">
        <v>1109</v>
      </c>
      <c r="F29" s="4" t="s">
        <v>1109</v>
      </c>
      <c r="G29" s="4" t="s">
        <v>1109</v>
      </c>
      <c r="H29" s="4" t="s">
        <v>1108</v>
      </c>
      <c r="I29">
        <v>1</v>
      </c>
    </row>
    <row r="30" spans="1:9" ht="30">
      <c r="A30" s="4" t="s">
        <v>303</v>
      </c>
      <c r="B30" s="4">
        <v>5979</v>
      </c>
      <c r="C30" s="4"/>
      <c r="D30" s="4"/>
      <c r="E30" s="4" t="s">
        <v>1109</v>
      </c>
      <c r="F30" s="8" t="s">
        <v>1093</v>
      </c>
      <c r="G30" s="4" t="s">
        <v>1108</v>
      </c>
      <c r="H30" s="4" t="s">
        <v>1108</v>
      </c>
      <c r="I30">
        <v>2</v>
      </c>
    </row>
    <row r="31" spans="1:9">
      <c r="A31" s="4" t="s">
        <v>318</v>
      </c>
      <c r="B31" s="4">
        <v>85414</v>
      </c>
      <c r="C31" s="4"/>
      <c r="D31" s="4"/>
      <c r="E31" s="4" t="s">
        <v>1108</v>
      </c>
      <c r="F31" s="4" t="s">
        <v>1108</v>
      </c>
      <c r="G31" s="4" t="s">
        <v>1108</v>
      </c>
      <c r="H31" s="4" t="s">
        <v>1108</v>
      </c>
      <c r="I31">
        <v>4</v>
      </c>
    </row>
    <row r="32" spans="1:9" ht="30">
      <c r="A32" s="4" t="s">
        <v>320</v>
      </c>
      <c r="B32" s="4">
        <v>11254</v>
      </c>
      <c r="C32" s="4" t="s">
        <v>1108</v>
      </c>
      <c r="D32" s="8" t="s">
        <v>996</v>
      </c>
      <c r="E32" s="4" t="s">
        <v>1108</v>
      </c>
      <c r="F32" s="4" t="s">
        <v>1109</v>
      </c>
      <c r="G32" s="4" t="s">
        <v>1109</v>
      </c>
      <c r="H32" s="4" t="s">
        <v>1109</v>
      </c>
      <c r="I32">
        <v>1</v>
      </c>
    </row>
    <row r="33" spans="1:9">
      <c r="A33" s="4" t="s">
        <v>327</v>
      </c>
      <c r="B33" s="4">
        <v>6662</v>
      </c>
      <c r="C33" s="4"/>
      <c r="D33" s="4"/>
      <c r="E33" s="4" t="s">
        <v>1109</v>
      </c>
      <c r="F33" s="4" t="s">
        <v>1108</v>
      </c>
      <c r="G33" s="4" t="s">
        <v>1109</v>
      </c>
      <c r="H33" s="4" t="s">
        <v>1109</v>
      </c>
      <c r="I33">
        <v>1</v>
      </c>
    </row>
    <row r="34" spans="1:9">
      <c r="A34" s="4" t="s">
        <v>119</v>
      </c>
      <c r="B34" s="4">
        <v>7113</v>
      </c>
      <c r="C34" s="4"/>
      <c r="D34" s="4"/>
      <c r="E34" s="4" t="s">
        <v>1109</v>
      </c>
      <c r="F34" s="4" t="s">
        <v>1108</v>
      </c>
      <c r="G34" s="4" t="s">
        <v>1108</v>
      </c>
      <c r="H34" s="4" t="s">
        <v>1108</v>
      </c>
      <c r="I34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PRONTO genes</vt:lpstr>
      <vt:lpstr>Epi</vt:lpstr>
      <vt:lpstr>Str</vt:lpstr>
      <vt:lpstr>unproved</vt:lpstr>
      <vt:lpstr>Epi in IHC images</vt:lpstr>
      <vt:lpstr>Str in IHC images</vt:lpstr>
      <vt:lpstr>Epi of prostate specificity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Yuandong Xing</cp:lastModifiedBy>
  <cp:lastPrinted>2021-11-02T22:37:57Z</cp:lastPrinted>
  <dcterms:created xsi:type="dcterms:W3CDTF">2021-10-08T22:35:49Z</dcterms:created>
  <dcterms:modified xsi:type="dcterms:W3CDTF">2022-02-18T23:41:23Z</dcterms:modified>
</cp:coreProperties>
</file>